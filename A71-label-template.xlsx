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Desktop\"/>
    </mc:Choice>
  </mc:AlternateContent>
  <bookViews>
    <workbookView windowWidth="17753" windowHeight="8200" tabRatio="887"/>
  </bookViews>
  <sheets>
    <sheet name="Template" sheetId="18" r:id="rId1"/>
    <sheet name="Glossary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<sst xmlns="http://schemas.openxmlformats.org/spreadsheetml/2006/main" count="260" uniqueCount="196">
  <si>
    <t>PACKING LIST</t>
  </si>
  <si>
    <t>CONSIGNEE</t>
  </si>
  <si>
    <t>INVOICE INFORMATION</t>
  </si>
  <si>
    <t>INVOICE</t>
  </si>
  <si>
    <t>COUNTRY</t>
  </si>
  <si>
    <t>PERÚ - 秘鲁</t>
  </si>
  <si>
    <t>BRAND</t>
  </si>
  <si>
    <t>ISADORA</t>
  </si>
  <si>
    <t>SHIPPER</t>
  </si>
  <si>
    <t>Pallet Number</t>
  </si>
  <si>
    <t>Pallet Size cm</t>
  </si>
  <si>
    <t>PO</t>
  </si>
  <si>
    <t>Quantity Cartons</t>
  </si>
  <si>
    <t>Carton size (cm) (LxWxH)</t>
  </si>
  <si>
    <t>CBM</t>
  </si>
  <si>
    <t xml:space="preserve">Gross </t>
  </si>
  <si>
    <t xml:space="preserve">Net </t>
  </si>
  <si>
    <t>Supplier Code</t>
  </si>
  <si>
    <t>SKU</t>
  </si>
  <si>
    <t>EAN Code</t>
  </si>
  <si>
    <t>CE</t>
  </si>
  <si>
    <t>Description</t>
  </si>
  <si>
    <t>Quantity (Pieces per Carton)</t>
  </si>
  <si>
    <t>Total Quantity Pieces</t>
  </si>
  <si>
    <t>Best Before</t>
  </si>
  <si>
    <t>Batch</t>
  </si>
  <si>
    <t>Net Content</t>
  </si>
  <si>
    <t>Manufacturing Date</t>
  </si>
  <si>
    <t>Registry number (ISP/NSOC/ANVISA)</t>
  </si>
  <si>
    <t>Comments</t>
  </si>
  <si>
    <t>TOTAL</t>
  </si>
  <si>
    <t>Total Pallets</t>
  </si>
  <si>
    <t>Total Cartons</t>
  </si>
  <si>
    <t>Total Units</t>
  </si>
  <si>
    <t>Total CBM (*)</t>
  </si>
  <si>
    <t>Total G.W KG (*)</t>
  </si>
  <si>
    <t>Total N.W KG</t>
  </si>
  <si>
    <t>(*) Included Pallet. For pallet instructions please refer to the Logistic guideline</t>
  </si>
  <si>
    <t>TABLE 1</t>
  </si>
  <si>
    <t>TABLE 2</t>
  </si>
  <si>
    <t>TABLE 3</t>
  </si>
  <si>
    <t>TABLE 4</t>
  </si>
  <si>
    <t>TABLE 5</t>
  </si>
  <si>
    <t>TABLE 6</t>
  </si>
  <si>
    <t>LISTA DESPLEGABLE</t>
  </si>
  <si>
    <t>ID</t>
  </si>
  <si>
    <t>CATEGORY</t>
  </si>
  <si>
    <t>CODE</t>
  </si>
  <si>
    <t>COUNTRY (中文)</t>
  </si>
  <si>
    <t>NRO</t>
  </si>
  <si>
    <t>SHIPPING MARK</t>
  </si>
  <si>
    <t>PORT</t>
  </si>
  <si>
    <t>WAY</t>
  </si>
  <si>
    <t>INCOTERM</t>
  </si>
  <si>
    <t>COUNTRY + 中文</t>
  </si>
  <si>
    <t>KEY TABLE 6</t>
  </si>
  <si>
    <t>CONSIGNEE 1</t>
  </si>
  <si>
    <t>CONSIGNEE 2</t>
  </si>
  <si>
    <t>CONSIGNEE 3</t>
  </si>
  <si>
    <t>CONSIGNEE 4</t>
  </si>
  <si>
    <t>TODOMODA</t>
  </si>
  <si>
    <t>TM</t>
  </si>
  <si>
    <t>Bijouterie</t>
  </si>
  <si>
    <t>JEWELLERY</t>
  </si>
  <si>
    <t>B</t>
  </si>
  <si>
    <t>ARGENTINA</t>
  </si>
  <si>
    <t>阿根廷</t>
  </si>
  <si>
    <t>AR</t>
  </si>
  <si>
    <t>VISION 101 S.A.</t>
  </si>
  <si>
    <t>BEIJING</t>
  </si>
  <si>
    <t>AIR</t>
  </si>
  <si>
    <t>FOB</t>
  </si>
  <si>
    <t>VISION 101 S.A..</t>
  </si>
  <si>
    <t>IS</t>
  </si>
  <si>
    <t>Marroquineria Grande</t>
  </si>
  <si>
    <t>BIG BAGS</t>
  </si>
  <si>
    <t>MG</t>
  </si>
  <si>
    <t>MEXICO</t>
  </si>
  <si>
    <t>墨西哥</t>
  </si>
  <si>
    <t>MX</t>
  </si>
  <si>
    <t>HONG KONG</t>
  </si>
  <si>
    <t>SEA</t>
  </si>
  <si>
    <t>FCA</t>
  </si>
  <si>
    <t>Leandro N. Alem 1002 - piso 6 – CP – C.A.B.A. – BUENOS AIRES - ARGENTINA</t>
  </si>
  <si>
    <t>MÉXICO</t>
  </si>
  <si>
    <t>BLUMI</t>
  </si>
  <si>
    <t>Marroquineria China</t>
  </si>
  <si>
    <t>SMALL BAGS</t>
  </si>
  <si>
    <t>MC</t>
  </si>
  <si>
    <t>Marro grande</t>
  </si>
  <si>
    <t>CHILE</t>
  </si>
  <si>
    <t>智利</t>
  </si>
  <si>
    <t>CL</t>
  </si>
  <si>
    <t>MADE IN….</t>
  </si>
  <si>
    <t>NINGBO</t>
  </si>
  <si>
    <t>TAX ID:CUIT: 30-70864841-4</t>
  </si>
  <si>
    <t>Regalería</t>
  </si>
  <si>
    <t>NOVELTIES</t>
  </si>
  <si>
    <t>R</t>
  </si>
  <si>
    <t>PERÚ</t>
  </si>
  <si>
    <t>秘鲁</t>
  </si>
  <si>
    <t>PE</t>
  </si>
  <si>
    <t xml:space="preserve">BIJOU CHILE SPA </t>
  </si>
  <si>
    <t>QINGDAO</t>
  </si>
  <si>
    <t>PH:+54 11  52815888</t>
  </si>
  <si>
    <t>Cosméticos</t>
  </si>
  <si>
    <t>COSMETIC</t>
  </si>
  <si>
    <t>C</t>
  </si>
  <si>
    <t>BRAZIL</t>
  </si>
  <si>
    <t>巴西</t>
  </si>
  <si>
    <t>BR</t>
  </si>
  <si>
    <t>SHANGHAI</t>
  </si>
  <si>
    <t>BIJOU CHILE SPA</t>
  </si>
  <si>
    <t>Accesorios Pelo</t>
  </si>
  <si>
    <t>HAIR ACCESSORIES</t>
  </si>
  <si>
    <t>P</t>
  </si>
  <si>
    <t>Marro chica</t>
  </si>
  <si>
    <t>PARAGUAY</t>
  </si>
  <si>
    <t>巴拉圭</t>
  </si>
  <si>
    <t>PY</t>
  </si>
  <si>
    <t>SHENZHEN</t>
  </si>
  <si>
    <t>RUT N° 76 145 457-9,</t>
  </si>
  <si>
    <t>Accesorios Textiles</t>
  </si>
  <si>
    <t>TEXTILE</t>
  </si>
  <si>
    <t>T</t>
  </si>
  <si>
    <t>GUATEMALA</t>
  </si>
  <si>
    <t>危地马拉</t>
  </si>
  <si>
    <t>GT</t>
  </si>
  <si>
    <t>BIJOU PERU S.A.C.</t>
  </si>
  <si>
    <t>XIAMEN</t>
  </si>
  <si>
    <t>AV. VITACURA 6844 PISO 2, COMUNA VITACURA, CIUDAD DE SANTIAGO, CHILE</t>
  </si>
  <si>
    <t>Infantil</t>
  </si>
  <si>
    <t>KIDS</t>
  </si>
  <si>
    <t>I</t>
  </si>
  <si>
    <t>Regaleria</t>
  </si>
  <si>
    <t>EL SALVADOR</t>
  </si>
  <si>
    <t>萨尔瓦多</t>
  </si>
  <si>
    <t>SV</t>
  </si>
  <si>
    <t>PERU</t>
  </si>
  <si>
    <t>Indumentaria</t>
  </si>
  <si>
    <t>CLOTHING</t>
  </si>
  <si>
    <t>Acc Pelo</t>
  </si>
  <si>
    <t>URUGUAY</t>
  </si>
  <si>
    <t>乌拉圭</t>
  </si>
  <si>
    <t>UY</t>
  </si>
  <si>
    <t>MADE IN…</t>
  </si>
  <si>
    <t>Complementos</t>
  </si>
  <si>
    <t>ACCESSORIES</t>
  </si>
  <si>
    <t>CT</t>
  </si>
  <si>
    <t>Textil</t>
  </si>
  <si>
    <t>ESPAÑA</t>
  </si>
  <si>
    <t>西班牙</t>
  </si>
  <si>
    <t>ES</t>
  </si>
  <si>
    <t>BIJOU MEXICO S.A. de C.V.</t>
  </si>
  <si>
    <t>RUC N° 20547530552</t>
  </si>
  <si>
    <t>Home</t>
  </si>
  <si>
    <t>HOME</t>
  </si>
  <si>
    <t>H</t>
  </si>
  <si>
    <t>BOLIVIA</t>
  </si>
  <si>
    <t>玻利维亚</t>
  </si>
  <si>
    <t>BO</t>
  </si>
  <si>
    <t>CAL. LA CASUARINA 291, URB. LOS SAUCES, DISTRITO SURQUILLO, LIMA PERU</t>
  </si>
  <si>
    <t>Importado por: KSE IMPORTACAO E DISTRIBUICAO LTDA</t>
  </si>
  <si>
    <t>Distribuido por: BSG Bijou Brasil Comercio Varejista Ltda</t>
  </si>
  <si>
    <t>ANTONIO DOVALI JAIME NUMERO 70 TORRE A PISO 4</t>
  </si>
  <si>
    <t>COLONIA SANTA FE ALVARO OBREGÓN C.P. 01210 - CIUDAD DE MÉXICO, MÉXICO.</t>
  </si>
  <si>
    <t>RFC: BME010405MX7  TEL/FAX: 52-55-26280083/26280088</t>
  </si>
  <si>
    <t>LAZOS S.A.</t>
  </si>
  <si>
    <t>KSE IMPORTACAO E DISTRIBUICAO LTDA</t>
  </si>
  <si>
    <t>RUA PRESIDENTE NEREU RAMOS, 69 - SALA 606 F</t>
  </si>
  <si>
    <t>ZIP CODE 88015-010 – FLORIANOPOLIS – SANTA CATARINA – BRASIL</t>
  </si>
  <si>
    <t>TENDENCIA S.A.</t>
  </si>
  <si>
    <t>CNPJ: 18.342.362/0002-07</t>
  </si>
  <si>
    <t>44 CALLE 16-89 ZONA 12, COLONIA LA COLINA - CIUDAD DE GUATEMALA - GUATEMALA</t>
  </si>
  <si>
    <t>LAZOS S.A</t>
  </si>
  <si>
    <t>NIT: 2590140-0</t>
  </si>
  <si>
    <t>RUC:80026297-2</t>
  </si>
  <si>
    <t>PBX: 2303-0000</t>
  </si>
  <si>
    <t>DIRECCIÓN: JUAN DE SALAZAR 709 ASUNCIÓN - PARAGUAY</t>
  </si>
  <si>
    <t>Importado por: IMPULSO, SA DE CV</t>
  </si>
  <si>
    <t>CALLE SIEMENS #54, URBANIZACIÓN INDUSTRIAL SANTA ELENA, ANTIGUO CUSCATLÁN – LA LIBERTAD - EL SALVADOR</t>
  </si>
  <si>
    <t xml:space="preserve">NIT 0501-130309-101-7 </t>
  </si>
  <si>
    <t>PBX (503) 2535-6852</t>
  </si>
  <si>
    <t>IMPULSO, SA DE CV</t>
  </si>
  <si>
    <t>Importado en URUGUAY por:</t>
  </si>
  <si>
    <t>CALLE SIEMENS #54, URBANIZACIÓN INDUSTRIAL SANTA ELENA, ANTIGUO CUSCATLÁN - LA LIBERTAD - EL SALVADOR</t>
  </si>
  <si>
    <t>EL HOGAR DE LAS MEDIAS S.A.</t>
  </si>
  <si>
    <t>NIT 0501-130309-101-7</t>
  </si>
  <si>
    <t>RUT: 210185650015    -   18 DE JULIO 913</t>
  </si>
  <si>
    <t>MONTEVIDEO - URUGUAY</t>
  </si>
  <si>
    <t>RUT: 210185650015 -18</t>
  </si>
  <si>
    <t>Sinfronteras SRL</t>
  </si>
  <si>
    <t>18 DE JULIO 913 - MONTEVIDEO - URUGUAY</t>
  </si>
  <si>
    <t>Bolivia</t>
  </si>
  <si>
    <r>
      <rPr>
        <sz val="12"/>
        <color rgb="FF000000"/>
        <rFont val="宋体"/>
        <charset val="134"/>
        <scheme val="minor"/>
      </rPr>
      <t>TAX ID:</t>
    </r>
    <r>
      <rPr>
        <sz val="12"/>
        <color rgb="FF000000"/>
        <rFont val="宋体"/>
        <charset val="134"/>
        <scheme val="minor"/>
      </rPr>
      <t>1017703021</t>
    </r>
  </si>
  <si>
    <t>Calle 7 N° 716, Achumani, La Paz, Bolivia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</si>
</sst>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.00\ _€_-;\-* #,##0.00\ _€_-;_-* &quot;-&quot;??\ _€_-;_-@_-"/>
    <numFmt numFmtId="178" formatCode="0.00_);[Red]\(0.00\)"/>
    <numFmt numFmtId="179" formatCode="_(* #,##0.00_);_(* \(#,##0.00\);_(* &quot;-&quot;??_);_(@_)"/>
    <numFmt numFmtId="180" formatCode="_-* #,##0_-;\-* #,##0_-;_-* &quot;-&quot;??_-;_-@_-"/>
  </numFmts>
  <fonts count="4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Aptos"/>
      <charset val="134"/>
    </font>
    <font>
      <sz val="12"/>
      <color theme="1"/>
      <name val="宋体"/>
      <charset val="134"/>
      <scheme val="major"/>
    </font>
    <font>
      <b/>
      <sz val="20"/>
      <color theme="0"/>
      <name val="宋体"/>
      <charset val="134"/>
      <scheme val="major"/>
    </font>
    <font>
      <b/>
      <sz val="12"/>
      <name val="宋体"/>
      <charset val="134"/>
      <scheme val="major"/>
    </font>
    <font>
      <b/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b/>
      <sz val="12"/>
      <color theme="0"/>
      <name val="宋体"/>
      <charset val="134"/>
      <scheme val="major"/>
    </font>
    <font>
      <b/>
      <sz val="12"/>
      <color rgb="FFFF0000"/>
      <name val="宋体"/>
      <charset val="134"/>
      <scheme val="major"/>
    </font>
    <font>
      <b/>
      <sz val="14"/>
      <color theme="0"/>
      <name val="宋体"/>
      <charset val="134"/>
      <scheme val="major"/>
    </font>
    <font>
      <sz val="14"/>
      <color theme="1"/>
      <name val="宋体"/>
      <charset val="134"/>
      <scheme val="major"/>
    </font>
    <font>
      <sz val="12"/>
      <color theme="2" tint="-0.24997711111789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name val="宋体"/>
      <charset val="134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3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40" applyNumberFormat="0" applyAlignment="0" applyProtection="0">
      <alignment vertical="center"/>
    </xf>
    <xf numFmtId="0" fontId="27" fillId="8" borderId="41" applyNumberFormat="0" applyAlignment="0" applyProtection="0">
      <alignment vertical="center"/>
    </xf>
    <xf numFmtId="0" fontId="28" fillId="8" borderId="40" applyNumberFormat="0" applyAlignment="0" applyProtection="0">
      <alignment vertical="center"/>
    </xf>
    <xf numFmtId="0" fontId="29" fillId="9" borderId="42" applyNumberFormat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0" borderId="44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0" borderId="0"/>
    <xf numFmtId="177" fontId="0" fillId="0" borderId="0" applyFont="0" applyFill="0" applyBorder="0" applyAlignment="0" applyProtection="0"/>
    <xf numFmtId="0" fontId="0" fillId="0" borderId="0"/>
    <xf numFmtId="0" fontId="38" fillId="0" borderId="0"/>
    <xf numFmtId="0" fontId="39" fillId="0" borderId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/>
    </xf>
    <xf numFmtId="0" fontId="1" fillId="0" borderId="21" xfId="0" applyFont="1" applyBorder="1"/>
    <xf numFmtId="0" fontId="1" fillId="0" borderId="20" xfId="0" applyFont="1" applyBorder="1"/>
    <xf numFmtId="0" fontId="1" fillId="0" borderId="16" xfId="0" applyFont="1" applyBorder="1"/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3" xfId="0" applyFont="1" applyBorder="1"/>
    <xf numFmtId="0" fontId="1" fillId="0" borderId="2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readingOrder="1"/>
    </xf>
    <xf numFmtId="0" fontId="6" fillId="0" borderId="17" xfId="0" applyFont="1" applyBorder="1" applyAlignment="1">
      <alignment horizontal="center" vertical="center" readingOrder="1"/>
    </xf>
    <xf numFmtId="0" fontId="6" fillId="0" borderId="10" xfId="0" applyFont="1" applyBorder="1" applyAlignment="1">
      <alignment horizontal="center" vertical="center" readingOrder="1"/>
    </xf>
    <xf numFmtId="0" fontId="1" fillId="0" borderId="2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indent="1"/>
    </xf>
    <xf numFmtId="0" fontId="7" fillId="0" borderId="20" xfId="0" applyFont="1" applyBorder="1" applyAlignment="1">
      <alignment horizontal="left" vertical="center" indent="1"/>
    </xf>
    <xf numFmtId="0" fontId="8" fillId="0" borderId="0" xfId="0" applyFont="1"/>
    <xf numFmtId="0" fontId="9" fillId="2" borderId="28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17" xfId="49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28" xfId="49" applyFont="1" applyBorder="1" applyAlignment="1" applyProtection="1">
      <alignment horizontal="left" vertical="center"/>
      <protection locked="0"/>
    </xf>
    <xf numFmtId="0" fontId="12" fillId="0" borderId="22" xfId="49" applyFont="1" applyBorder="1" applyAlignment="1" applyProtection="1">
      <alignment horizontal="left" vertical="center"/>
      <protection locked="0"/>
    </xf>
    <xf numFmtId="0" fontId="12" fillId="0" borderId="29" xfId="49" applyFont="1" applyBorder="1" applyAlignment="1" applyProtection="1">
      <alignment horizontal="left" vertical="center"/>
      <protection locked="0"/>
    </xf>
    <xf numFmtId="0" fontId="11" fillId="3" borderId="34" xfId="0" applyFont="1" applyFill="1" applyBorder="1" applyAlignment="1">
      <alignment horizontal="center" vertical="center"/>
    </xf>
    <xf numFmtId="0" fontId="11" fillId="4" borderId="25" xfId="0" applyFont="1" applyFill="1" applyBorder="1" applyAlignment="1" applyProtection="1">
      <alignment horizontal="center" vertical="center"/>
      <protection locked="0"/>
    </xf>
    <xf numFmtId="0" fontId="11" fillId="4" borderId="33" xfId="0" applyFont="1" applyFill="1" applyBorder="1" applyAlignment="1" applyProtection="1">
      <alignment horizontal="center" vertical="center"/>
      <protection locked="0"/>
    </xf>
    <xf numFmtId="0" fontId="12" fillId="0" borderId="35" xfId="49" applyFont="1" applyBorder="1" applyAlignment="1" applyProtection="1">
      <alignment horizontal="left" vertical="center" wrapText="1"/>
      <protection locked="0"/>
    </xf>
    <xf numFmtId="0" fontId="12" fillId="0" borderId="0" xfId="49" applyFont="1" applyAlignment="1" applyProtection="1">
      <alignment horizontal="left" vertical="center" wrapText="1"/>
      <protection locked="0"/>
    </xf>
    <xf numFmtId="0" fontId="12" fillId="0" borderId="36" xfId="49" applyFont="1" applyBorder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center"/>
    </xf>
    <xf numFmtId="0" fontId="11" fillId="3" borderId="17" xfId="0" applyFont="1" applyFill="1" applyBorder="1" applyAlignment="1">
      <alignment horizontal="center" vertical="center"/>
    </xf>
    <xf numFmtId="0" fontId="11" fillId="3" borderId="25" xfId="0" applyFont="1" applyFill="1" applyBorder="1" applyAlignment="1" applyProtection="1">
      <alignment horizontal="center" vertical="center"/>
      <protection locked="0"/>
    </xf>
    <xf numFmtId="0" fontId="11" fillId="3" borderId="33" xfId="0" applyFont="1" applyFill="1" applyBorder="1" applyAlignment="1" applyProtection="1">
      <alignment horizontal="center" vertical="center"/>
      <protection locked="0"/>
    </xf>
    <xf numFmtId="0" fontId="12" fillId="0" borderId="30" xfId="49" applyFont="1" applyBorder="1" applyAlignment="1" applyProtection="1">
      <alignment horizontal="left" vertical="center" wrapText="1"/>
      <protection locked="0"/>
    </xf>
    <xf numFmtId="0" fontId="12" fillId="0" borderId="31" xfId="49" applyFont="1" applyBorder="1" applyAlignment="1" applyProtection="1">
      <alignment horizontal="left" vertical="center" wrapText="1"/>
      <protection locked="0"/>
    </xf>
    <xf numFmtId="0" fontId="12" fillId="0" borderId="32" xfId="49" applyFont="1" applyBorder="1" applyAlignment="1" applyProtection="1">
      <alignment horizontal="left" vertical="center" wrapText="1"/>
      <protection locked="0"/>
    </xf>
    <xf numFmtId="49" fontId="13" fillId="2" borderId="17" xfId="53" applyNumberFormat="1" applyFont="1" applyFill="1" applyBorder="1" applyAlignment="1">
      <alignment horizontal="center" vertical="center" wrapText="1"/>
    </xf>
    <xf numFmtId="49" fontId="11" fillId="4" borderId="17" xfId="53" applyNumberFormat="1" applyFont="1" applyFill="1" applyBorder="1" applyAlignment="1">
      <alignment horizontal="center" vertical="center" wrapText="1"/>
    </xf>
    <xf numFmtId="0" fontId="11" fillId="4" borderId="25" xfId="53" applyFont="1" applyFill="1" applyBorder="1" applyAlignment="1">
      <alignment horizontal="center" vertical="center" wrapText="1"/>
    </xf>
    <xf numFmtId="0" fontId="11" fillId="4" borderId="12" xfId="53" applyFont="1" applyFill="1" applyBorder="1" applyAlignment="1">
      <alignment horizontal="center" vertical="center" wrapText="1"/>
    </xf>
    <xf numFmtId="0" fontId="11" fillId="4" borderId="33" xfId="53" applyFont="1" applyFill="1" applyBorder="1" applyAlignment="1">
      <alignment horizontal="center" vertical="center" wrapText="1"/>
    </xf>
    <xf numFmtId="0" fontId="11" fillId="4" borderId="17" xfId="53" applyFont="1" applyFill="1" applyBorder="1" applyAlignment="1">
      <alignment horizontal="center" vertical="center" wrapText="1"/>
    </xf>
    <xf numFmtId="178" fontId="11" fillId="4" borderId="33" xfId="53" applyNumberFormat="1" applyFont="1" applyFill="1" applyBorder="1" applyAlignment="1">
      <alignment horizontal="center" vertical="center" wrapText="1"/>
    </xf>
    <xf numFmtId="179" fontId="11" fillId="4" borderId="17" xfId="53" applyNumberFormat="1" applyFont="1" applyFill="1" applyBorder="1" applyAlignment="1">
      <alignment horizontal="center" vertical="center" wrapText="1"/>
    </xf>
    <xf numFmtId="49" fontId="14" fillId="4" borderId="33" xfId="53" applyNumberFormat="1" applyFont="1" applyFill="1" applyBorder="1" applyAlignment="1">
      <alignment horizontal="center" vertical="center" wrapText="1"/>
    </xf>
    <xf numFmtId="49" fontId="14" fillId="4" borderId="17" xfId="53" applyNumberFormat="1" applyFont="1" applyFill="1" applyBorder="1" applyAlignment="1">
      <alignment horizontal="center" vertical="center"/>
    </xf>
    <xf numFmtId="0" fontId="13" fillId="2" borderId="17" xfId="53" applyFont="1" applyFill="1" applyBorder="1" applyAlignment="1">
      <alignment horizontal="center" vertical="center" wrapText="1"/>
    </xf>
    <xf numFmtId="0" fontId="15" fillId="2" borderId="17" xfId="53" applyFont="1" applyFill="1" applyBorder="1" applyAlignment="1">
      <alignment horizontal="center" vertical="center" wrapText="1"/>
    </xf>
    <xf numFmtId="1" fontId="12" fillId="0" borderId="17" xfId="53" applyNumberFormat="1" applyFont="1" applyBorder="1" applyAlignment="1" applyProtection="1">
      <alignment horizontal="center" vertical="center"/>
      <protection locked="0"/>
    </xf>
    <xf numFmtId="180" fontId="12" fillId="0" borderId="17" xfId="1" applyNumberFormat="1" applyFont="1" applyFill="1" applyBorder="1" applyAlignment="1">
      <alignment horizontal="center" vertical="center"/>
    </xf>
    <xf numFmtId="176" fontId="12" fillId="0" borderId="17" xfId="1" applyFont="1" applyFill="1" applyBorder="1" applyAlignment="1" applyProtection="1">
      <alignment horizontal="center" vertical="center"/>
      <protection locked="0"/>
    </xf>
    <xf numFmtId="1" fontId="12" fillId="0" borderId="17" xfId="0" applyNumberFormat="1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12" fillId="0" borderId="17" xfId="53" applyFont="1" applyBorder="1" applyAlignment="1" applyProtection="1">
      <alignment horizontal="left" vertical="center"/>
      <protection locked="0"/>
    </xf>
    <xf numFmtId="180" fontId="12" fillId="0" borderId="17" xfId="1" applyNumberFormat="1" applyFont="1" applyBorder="1" applyAlignment="1" applyProtection="1">
      <alignment horizontal="center" vertical="center"/>
      <protection locked="0"/>
    </xf>
    <xf numFmtId="17" fontId="16" fillId="0" borderId="17" xfId="0" applyNumberFormat="1" applyFont="1" applyBorder="1" applyAlignment="1" applyProtection="1">
      <alignment horizontal="center"/>
      <protection locked="0"/>
    </xf>
    <xf numFmtId="0" fontId="16" fillId="0" borderId="25" xfId="0" applyFont="1" applyBorder="1" applyAlignment="1" applyProtection="1">
      <alignment horizontal="center"/>
      <protection locked="0"/>
    </xf>
    <xf numFmtId="0" fontId="16" fillId="0" borderId="17" xfId="0" applyFont="1" applyBorder="1"/>
    <xf numFmtId="176" fontId="12" fillId="0" borderId="17" xfId="1" applyFont="1" applyFill="1" applyBorder="1" applyAlignment="1" applyProtection="1">
      <alignment vertical="center"/>
      <protection locked="0"/>
    </xf>
    <xf numFmtId="176" fontId="12" fillId="0" borderId="14" xfId="1" applyFont="1" applyFill="1" applyBorder="1" applyAlignment="1">
      <alignment vertical="center" wrapText="1"/>
    </xf>
    <xf numFmtId="0" fontId="16" fillId="0" borderId="17" xfId="51" applyFont="1" applyBorder="1" applyAlignment="1">
      <alignment horizontal="center" vertical="center" wrapText="1"/>
    </xf>
    <xf numFmtId="1" fontId="12" fillId="0" borderId="34" xfId="53" applyNumberFormat="1" applyFont="1" applyBorder="1" applyAlignment="1" applyProtection="1">
      <alignment vertical="center"/>
      <protection locked="0"/>
    </xf>
    <xf numFmtId="180" fontId="12" fillId="0" borderId="17" xfId="1" applyNumberFormat="1" applyFont="1" applyFill="1" applyBorder="1" applyAlignment="1">
      <alignment vertical="center"/>
    </xf>
    <xf numFmtId="176" fontId="12" fillId="0" borderId="34" xfId="1" applyFont="1" applyFill="1" applyBorder="1" applyAlignment="1" applyProtection="1">
      <alignment vertical="center"/>
      <protection locked="0"/>
    </xf>
    <xf numFmtId="1" fontId="12" fillId="0" borderId="34" xfId="53" applyNumberFormat="1" applyFont="1" applyBorder="1" applyAlignment="1" applyProtection="1">
      <alignment horizontal="center" vertical="center"/>
      <protection locked="0"/>
    </xf>
    <xf numFmtId="0" fontId="10" fillId="0" borderId="17" xfId="0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0" fontId="10" fillId="0" borderId="17" xfId="0" applyFont="1" applyBorder="1"/>
    <xf numFmtId="180" fontId="10" fillId="0" borderId="17" xfId="1" applyNumberFormat="1" applyFont="1" applyBorder="1"/>
    <xf numFmtId="180" fontId="10" fillId="0" borderId="17" xfId="1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13" fillId="5" borderId="25" xfId="0" applyFont="1" applyFill="1" applyBorder="1" applyAlignment="1">
      <alignment horizontal="center"/>
    </xf>
    <xf numFmtId="0" fontId="13" fillId="5" borderId="12" xfId="0" applyFont="1" applyFill="1" applyBorder="1" applyAlignment="1">
      <alignment horizontal="center"/>
    </xf>
    <xf numFmtId="0" fontId="13" fillId="5" borderId="3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176" fontId="8" fillId="0" borderId="34" xfId="1" applyFont="1" applyBorder="1" applyAlignment="1" applyProtection="1">
      <protection locked="0"/>
    </xf>
    <xf numFmtId="176" fontId="8" fillId="0" borderId="0" xfId="1" applyFont="1" applyBorder="1" applyAlignment="1" applyProtection="1">
      <alignment horizontal="center"/>
      <protection locked="0"/>
    </xf>
    <xf numFmtId="176" fontId="8" fillId="0" borderId="17" xfId="1" applyFont="1" applyBorder="1" applyAlignment="1" applyProtection="1"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a__x000a_NA_x000a__x000a_" xfId="49"/>
    <cellStyle name="Comma 3" xfId="50"/>
    <cellStyle name="Normal 2 2" xfId="51"/>
    <cellStyle name="Normal 3" xfId="52"/>
    <cellStyle name="常规_落货PACKING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40"/>
  <sheetViews>
    <sheetView showGridLines="0" tabSelected="1" zoomScale="60" zoomScaleNormal="60" workbookViewId="0">
      <selection activeCell="T8" sqref="T8"/>
    </sheetView>
  </sheetViews>
  <sheetFormatPr defaultColWidth="11.5575221238938" defaultRowHeight="15.3"/>
  <cols>
    <col min="1" max="1" width="2.7787610619469" style="64" customWidth="1"/>
    <col min="2" max="2" width="9.33628318584071" style="64" customWidth="1"/>
    <col min="3" max="3" width="15" style="64" customWidth="1"/>
    <col min="4" max="4" width="9.33628318584071" style="64" customWidth="1"/>
    <col min="5" max="5" width="10.7787610619469" style="64" customWidth="1"/>
    <col min="6" max="8" width="6" style="64" customWidth="1"/>
    <col min="9" max="9" width="8.06194690265487" style="64" customWidth="1"/>
    <col min="10" max="10" width="9.14159292035398" style="64" customWidth="1"/>
    <col min="11" max="11" width="10.1327433628319" style="64" customWidth="1"/>
    <col min="12" max="12" width="10.3362831858407" style="64" customWidth="1"/>
    <col min="13" max="13" width="12" style="64" customWidth="1"/>
    <col min="14" max="14" width="20.2212389380531" style="64" customWidth="1"/>
    <col min="15" max="15" width="11.5575221238938" style="64" customWidth="1"/>
    <col min="16" max="16" width="34.2212389380531" style="64" customWidth="1"/>
    <col min="17" max="17" width="17.6637168141593" style="64" customWidth="1"/>
    <col min="18" max="18" width="14.6637168141593" style="64" customWidth="1"/>
    <col min="19" max="21" width="11.5575221238938" style="64"/>
    <col min="22" max="22" width="21.5575221238938" style="64" customWidth="1"/>
    <col min="23" max="23" width="24.5575221238938" style="64" customWidth="1"/>
    <col min="24" max="24" width="24.8849557522124" style="64" customWidth="1"/>
    <col min="25" max="16384" width="11.5575221238938" style="64"/>
  </cols>
  <sheetData>
    <row r="2" ht="15.6" customHeight="1" spans="2:24"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7"/>
    </row>
    <row r="3" ht="15.6" customHeight="1" spans="2:24"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</row>
    <row r="5" spans="2:24">
      <c r="B5" s="71" t="s">
        <v>1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P5" s="72" t="s">
        <v>2</v>
      </c>
      <c r="Q5" s="73"/>
      <c r="R5" s="74"/>
    </row>
    <row r="6" spans="2:24">
      <c r="B6" s="75" t="str">
        <f>IFERROR(INDEX(Glossary!$AG$5:$AG$15,MATCH($Q$8,Glossary!$AE$5:$AE$15,0)),"")</f>
        <v>BIJOU PERU S.A.C.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7"/>
      <c r="P6" s="78" t="s">
        <v>3</v>
      </c>
      <c r="Q6" s="79"/>
      <c r="R6" s="80"/>
    </row>
    <row r="7" spans="2:24">
      <c r="B7" s="81" t="str">
        <f>IFERROR(INDEX(Glossary!$AH$5:$AH$15,MATCH($Q$8,Glossary!$AE$5:$AE$15,0)),"")</f>
        <v>RUC N° 20547530552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3"/>
      <c r="Q7" s="84"/>
    </row>
    <row r="8" spans="2:24">
      <c r="B8" s="81" t="str">
        <f>IFERROR(INDEX(Glossary!$AI$5:$AI$15,MATCH($Q$8,Glossary!$AE$5:$AE$15,0)),"")</f>
        <v>CAL. LA CASUARINA 291, URB. LOS SAUCES, DISTRITO SURQUILLO, LIMA PERU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3"/>
      <c r="P8" s="85" t="s">
        <v>4</v>
      </c>
      <c r="Q8" s="86" t="s">
        <v>5</v>
      </c>
      <c r="R8" s="87"/>
    </row>
    <row r="9" spans="2:24">
      <c r="B9" s="88" t="str">
        <f>IFERROR(INDEX(Glossary!$AJ$5:$AJ$15,MATCH($Q$8,Glossary!$AE$5:$AE$15,0)),"")</f>
        <v/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90"/>
      <c r="P9" s="85" t="s">
        <v>6</v>
      </c>
      <c r="Q9" s="86" t="s">
        <v>7</v>
      </c>
      <c r="R9" s="87"/>
    </row>
    <row r="10" spans="2:24">
      <c r="Q10" s="84"/>
    </row>
    <row r="11" spans="2:24">
      <c r="B11" s="71" t="s">
        <v>8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2:24">
      <c r="B12" s="81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3"/>
    </row>
    <row r="13" spans="2:24"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3"/>
    </row>
    <row r="14" spans="2:24">
      <c r="B14" s="88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90"/>
    </row>
    <row r="16" ht="55.2" customHeight="1" spans="2:24">
      <c r="B16" s="91" t="s">
        <v>9</v>
      </c>
      <c r="C16" s="91" t="s">
        <v>10</v>
      </c>
      <c r="D16" s="92" t="s">
        <v>11</v>
      </c>
      <c r="E16" s="92" t="s">
        <v>12</v>
      </c>
      <c r="F16" s="93" t="s">
        <v>13</v>
      </c>
      <c r="G16" s="94"/>
      <c r="H16" s="95"/>
      <c r="I16" s="96" t="s">
        <v>14</v>
      </c>
      <c r="J16" s="97" t="s">
        <v>15</v>
      </c>
      <c r="K16" s="98" t="s">
        <v>16</v>
      </c>
      <c r="L16" s="99" t="s">
        <v>17</v>
      </c>
      <c r="M16" s="92" t="s">
        <v>18</v>
      </c>
      <c r="N16" s="99" t="s">
        <v>19</v>
      </c>
      <c r="O16" s="99" t="s">
        <v>20</v>
      </c>
      <c r="P16" s="100" t="s">
        <v>21</v>
      </c>
      <c r="Q16" s="96" t="s">
        <v>22</v>
      </c>
      <c r="R16" s="101" t="s">
        <v>23</v>
      </c>
      <c r="S16" s="102" t="s">
        <v>24</v>
      </c>
      <c r="T16" s="102" t="s">
        <v>25</v>
      </c>
      <c r="U16" s="102" t="s">
        <v>26</v>
      </c>
      <c r="V16" s="102" t="s">
        <v>27</v>
      </c>
      <c r="W16" s="102" t="s">
        <v>28</v>
      </c>
      <c r="X16" s="102" t="s">
        <v>29</v>
      </c>
    </row>
    <row r="17" ht="17.65" spans="2:24">
      <c r="B17" s="103"/>
      <c r="C17" s="103"/>
      <c r="D17" s="103"/>
      <c r="E17" s="103"/>
      <c r="F17" s="104"/>
      <c r="G17" s="104"/>
      <c r="H17" s="104"/>
      <c r="I17" s="105"/>
      <c r="J17" s="105"/>
      <c r="K17" s="105"/>
      <c r="L17" s="106"/>
      <c r="M17" s="107"/>
      <c r="N17" s="107"/>
      <c r="O17" s="107"/>
      <c r="P17" s="108"/>
      <c r="Q17" s="109"/>
      <c r="R17" s="109">
        <f>Q17*E17</f>
        <v>0</v>
      </c>
      <c r="S17" s="110"/>
      <c r="T17" s="111"/>
      <c r="U17" s="111"/>
      <c r="V17" s="111"/>
      <c r="W17" s="111"/>
      <c r="X17" s="112"/>
    </row>
    <row r="18" ht="15.6" customHeight="1" spans="2:24">
      <c r="B18" s="103"/>
      <c r="C18" s="103"/>
      <c r="D18" s="103"/>
      <c r="E18" s="103"/>
      <c r="F18" s="104"/>
      <c r="G18" s="104"/>
      <c r="H18" s="104"/>
      <c r="I18" s="105"/>
      <c r="J18" s="105"/>
      <c r="K18" s="105"/>
      <c r="L18" s="106"/>
      <c r="M18" s="107"/>
      <c r="N18" s="107"/>
      <c r="O18" s="107"/>
      <c r="P18" s="108"/>
      <c r="Q18" s="109"/>
      <c r="R18" s="109">
        <f>Q18*E18</f>
        <v>0</v>
      </c>
      <c r="S18" s="110"/>
      <c r="T18" s="111"/>
      <c r="U18" s="111"/>
      <c r="V18" s="111"/>
      <c r="W18" s="111"/>
      <c r="X18" s="112"/>
    </row>
    <row r="19" ht="15.6" customHeight="1" spans="2:24">
      <c r="B19" s="103"/>
      <c r="C19" s="103"/>
      <c r="D19" s="103"/>
      <c r="E19" s="103"/>
      <c r="F19" s="104"/>
      <c r="G19" s="104"/>
      <c r="H19" s="104"/>
      <c r="I19" s="113"/>
      <c r="J19" s="113"/>
      <c r="K19" s="114"/>
      <c r="L19" s="106"/>
      <c r="M19" s="107"/>
      <c r="N19" s="107"/>
      <c r="O19" s="107"/>
      <c r="P19" s="108"/>
      <c r="Q19" s="109"/>
      <c r="R19" s="109">
        <f>Q19*E19</f>
        <v>0</v>
      </c>
      <c r="S19" s="110"/>
      <c r="T19" s="111"/>
      <c r="U19" s="111"/>
      <c r="V19" s="111"/>
      <c r="W19" s="111"/>
      <c r="X19" s="115"/>
    </row>
    <row r="20" ht="15.6" customHeight="1" spans="2:24">
      <c r="B20" s="103"/>
      <c r="C20" s="103"/>
      <c r="D20" s="103"/>
      <c r="E20" s="116"/>
      <c r="F20" s="117"/>
      <c r="G20" s="117"/>
      <c r="H20" s="117"/>
      <c r="I20" s="118"/>
      <c r="J20" s="118"/>
      <c r="K20" s="114"/>
      <c r="L20" s="106"/>
      <c r="M20" s="107"/>
      <c r="N20" s="107"/>
      <c r="O20" s="107"/>
      <c r="P20" s="108"/>
      <c r="Q20" s="109"/>
      <c r="R20" s="109">
        <f>Q20*E19</f>
        <v>0</v>
      </c>
      <c r="S20" s="110"/>
      <c r="T20" s="111"/>
      <c r="U20" s="111"/>
      <c r="V20" s="111"/>
      <c r="W20" s="111"/>
      <c r="X20" s="115"/>
    </row>
    <row r="21" ht="17.65" spans="2:24">
      <c r="B21" s="103"/>
      <c r="C21" s="103"/>
      <c r="D21" s="103"/>
      <c r="E21" s="103"/>
      <c r="F21" s="104"/>
      <c r="G21" s="104"/>
      <c r="H21" s="104"/>
      <c r="I21" s="118"/>
      <c r="J21" s="118"/>
      <c r="K21" s="114"/>
      <c r="L21" s="106"/>
      <c r="M21" s="107"/>
      <c r="N21" s="107"/>
      <c r="O21" s="107"/>
      <c r="P21" s="108"/>
      <c r="Q21" s="109"/>
      <c r="R21" s="109">
        <f>Q21*$E$21</f>
        <v>0</v>
      </c>
      <c r="S21" s="110"/>
      <c r="T21" s="111"/>
      <c r="U21" s="111"/>
      <c r="V21" s="111"/>
      <c r="W21" s="111"/>
      <c r="X21" s="115"/>
    </row>
    <row r="22" ht="15.6" customHeight="1" spans="2:24">
      <c r="B22" s="103"/>
      <c r="C22" s="119"/>
      <c r="D22" s="103"/>
      <c r="E22" s="116"/>
      <c r="F22" s="117"/>
      <c r="G22" s="117"/>
      <c r="H22" s="117"/>
      <c r="I22" s="118"/>
      <c r="J22" s="118"/>
      <c r="K22" s="114"/>
      <c r="L22" s="106"/>
      <c r="M22" s="107"/>
      <c r="N22" s="107"/>
      <c r="O22" s="107"/>
      <c r="P22" s="108"/>
      <c r="Q22" s="109"/>
      <c r="R22" s="109">
        <f t="shared" ref="R22:R29" si="0">Q22*$E$21</f>
        <v>0</v>
      </c>
      <c r="S22" s="110"/>
      <c r="T22" s="111"/>
      <c r="U22" s="111"/>
      <c r="V22" s="111"/>
      <c r="W22" s="111"/>
      <c r="X22" s="115"/>
    </row>
    <row r="23" ht="15.6" customHeight="1" spans="2:24">
      <c r="B23" s="103"/>
      <c r="C23" s="119"/>
      <c r="D23" s="103"/>
      <c r="E23" s="116"/>
      <c r="F23" s="117"/>
      <c r="G23" s="117"/>
      <c r="H23" s="117"/>
      <c r="I23" s="118"/>
      <c r="J23" s="118"/>
      <c r="K23" s="114"/>
      <c r="L23" s="106"/>
      <c r="M23" s="107"/>
      <c r="N23" s="107"/>
      <c r="O23" s="107"/>
      <c r="P23" s="108"/>
      <c r="Q23" s="109"/>
      <c r="R23" s="109">
        <f t="shared" si="0"/>
        <v>0</v>
      </c>
      <c r="S23" s="110"/>
      <c r="T23" s="111"/>
      <c r="U23" s="111"/>
      <c r="V23" s="111"/>
      <c r="W23" s="111"/>
      <c r="X23" s="115"/>
    </row>
    <row r="24" ht="15.6" customHeight="1" spans="2:24">
      <c r="B24" s="103"/>
      <c r="C24" s="119"/>
      <c r="D24" s="103"/>
      <c r="E24" s="116"/>
      <c r="F24" s="117"/>
      <c r="G24" s="117"/>
      <c r="H24" s="117"/>
      <c r="I24" s="118"/>
      <c r="J24" s="118"/>
      <c r="K24" s="114"/>
      <c r="L24" s="106"/>
      <c r="M24" s="107"/>
      <c r="N24" s="107"/>
      <c r="O24" s="107"/>
      <c r="P24" s="108"/>
      <c r="Q24" s="109"/>
      <c r="R24" s="109">
        <f t="shared" si="0"/>
        <v>0</v>
      </c>
      <c r="S24" s="110"/>
      <c r="T24" s="111"/>
      <c r="U24" s="111"/>
      <c r="V24" s="111"/>
      <c r="W24" s="111"/>
      <c r="X24" s="115"/>
    </row>
    <row r="25" ht="15.6" customHeight="1" spans="2:24">
      <c r="B25" s="103"/>
      <c r="C25" s="119"/>
      <c r="D25" s="103"/>
      <c r="E25" s="116"/>
      <c r="F25" s="117"/>
      <c r="G25" s="117"/>
      <c r="H25" s="117"/>
      <c r="I25" s="118"/>
      <c r="J25" s="118"/>
      <c r="K25" s="114"/>
      <c r="L25" s="106"/>
      <c r="M25" s="107"/>
      <c r="N25" s="107"/>
      <c r="O25" s="107"/>
      <c r="P25" s="108"/>
      <c r="Q25" s="109"/>
      <c r="R25" s="109">
        <f t="shared" si="0"/>
        <v>0</v>
      </c>
      <c r="S25" s="110"/>
      <c r="T25" s="111"/>
      <c r="U25" s="111"/>
      <c r="V25" s="111"/>
      <c r="W25" s="111"/>
      <c r="X25" s="115"/>
    </row>
    <row r="26" ht="15.6" customHeight="1" spans="2:24">
      <c r="B26" s="103"/>
      <c r="C26" s="119"/>
      <c r="D26" s="103"/>
      <c r="E26" s="116"/>
      <c r="F26" s="117"/>
      <c r="G26" s="117"/>
      <c r="H26" s="117"/>
      <c r="I26" s="118"/>
      <c r="J26" s="118"/>
      <c r="K26" s="114"/>
      <c r="L26" s="106"/>
      <c r="M26" s="107"/>
      <c r="N26" s="107"/>
      <c r="O26" s="107"/>
      <c r="P26" s="108"/>
      <c r="Q26" s="109"/>
      <c r="R26" s="109">
        <f t="shared" si="0"/>
        <v>0</v>
      </c>
      <c r="S26" s="110"/>
      <c r="T26" s="111"/>
      <c r="U26" s="111"/>
      <c r="V26" s="111"/>
      <c r="W26" s="111"/>
      <c r="X26" s="115"/>
    </row>
    <row r="27" ht="15.6" customHeight="1" spans="2:24">
      <c r="B27" s="103"/>
      <c r="C27" s="119"/>
      <c r="D27" s="103"/>
      <c r="E27" s="116"/>
      <c r="F27" s="117"/>
      <c r="G27" s="117"/>
      <c r="H27" s="117"/>
      <c r="I27" s="118"/>
      <c r="J27" s="118"/>
      <c r="K27" s="114"/>
      <c r="L27" s="106"/>
      <c r="M27" s="107"/>
      <c r="N27" s="107"/>
      <c r="O27" s="107"/>
      <c r="P27" s="108"/>
      <c r="Q27" s="109"/>
      <c r="R27" s="109">
        <f t="shared" si="0"/>
        <v>0</v>
      </c>
      <c r="S27" s="110"/>
      <c r="T27" s="111"/>
      <c r="U27" s="111"/>
      <c r="V27" s="111"/>
      <c r="W27" s="111"/>
      <c r="X27" s="115"/>
    </row>
    <row r="28" ht="15.6" customHeight="1" spans="2:24">
      <c r="B28" s="103"/>
      <c r="C28" s="119"/>
      <c r="D28" s="103"/>
      <c r="E28" s="116"/>
      <c r="F28" s="117"/>
      <c r="G28" s="117"/>
      <c r="H28" s="117"/>
      <c r="I28" s="118"/>
      <c r="J28" s="118"/>
      <c r="K28" s="114"/>
      <c r="L28" s="106"/>
      <c r="M28" s="107"/>
      <c r="N28" s="107"/>
      <c r="O28" s="107"/>
      <c r="P28" s="108"/>
      <c r="Q28" s="109"/>
      <c r="R28" s="109">
        <f t="shared" si="0"/>
        <v>0</v>
      </c>
      <c r="S28" s="110"/>
      <c r="T28" s="111"/>
      <c r="U28" s="111"/>
      <c r="V28" s="111"/>
      <c r="W28" s="111"/>
      <c r="X28" s="115"/>
    </row>
    <row r="29" ht="15.6" customHeight="1" spans="2:24">
      <c r="B29" s="103"/>
      <c r="C29" s="119"/>
      <c r="D29" s="103"/>
      <c r="E29" s="116"/>
      <c r="F29" s="117"/>
      <c r="G29" s="117"/>
      <c r="H29" s="117"/>
      <c r="I29" s="118"/>
      <c r="J29" s="118"/>
      <c r="K29" s="114"/>
      <c r="L29" s="106"/>
      <c r="M29" s="107"/>
      <c r="N29" s="107"/>
      <c r="O29" s="107"/>
      <c r="P29" s="108"/>
      <c r="Q29" s="109"/>
      <c r="R29" s="109">
        <f t="shared" si="0"/>
        <v>0</v>
      </c>
      <c r="S29" s="110"/>
      <c r="T29" s="111"/>
      <c r="U29" s="111"/>
      <c r="V29" s="111"/>
      <c r="W29" s="111"/>
      <c r="X29" s="115"/>
    </row>
    <row r="30" ht="15.6" customHeight="1" spans="2:24">
      <c r="B30" s="103"/>
      <c r="C30" s="119"/>
      <c r="D30" s="103"/>
      <c r="E30" s="116"/>
      <c r="F30" s="117"/>
      <c r="G30" s="117"/>
      <c r="H30" s="117"/>
      <c r="I30" s="118"/>
      <c r="J30" s="118"/>
      <c r="K30" s="114"/>
      <c r="L30" s="106"/>
      <c r="M30" s="107"/>
      <c r="N30" s="107"/>
      <c r="O30" s="107"/>
      <c r="P30" s="108"/>
      <c r="Q30" s="109"/>
      <c r="R30" s="109"/>
    </row>
    <row r="31" spans="2:24">
      <c r="B31" s="120">
        <f>COUNTA(B17:B22)</f>
        <v>0</v>
      </c>
      <c r="C31" s="120"/>
      <c r="D31" s="120"/>
      <c r="E31" s="121">
        <f>SUM(E17:E22)</f>
        <v>0</v>
      </c>
      <c r="F31" s="122"/>
      <c r="G31" s="122"/>
      <c r="H31" s="122"/>
      <c r="I31" s="121">
        <f>SUM(I17:I22)</f>
        <v>0</v>
      </c>
      <c r="J31" s="121">
        <f>SUM(J17:J22)</f>
        <v>0</v>
      </c>
      <c r="K31" s="121">
        <f>SUM(K17:K22)</f>
        <v>0</v>
      </c>
      <c r="L31" s="120"/>
      <c r="M31" s="120"/>
      <c r="N31" s="122"/>
      <c r="O31" s="122"/>
      <c r="P31" s="122"/>
      <c r="Q31" s="123"/>
      <c r="R31" s="124">
        <f>SUM(R17:R22)</f>
        <v>0</v>
      </c>
    </row>
    <row r="32" spans="2:24">
      <c r="F32" s="125"/>
      <c r="G32" s="125"/>
      <c r="H32" s="126"/>
      <c r="L32" s="126"/>
      <c r="O32" s="125"/>
      <c r="P32" s="125"/>
    </row>
    <row r="33" spans="2:18">
      <c r="M33" s="127" t="s">
        <v>30</v>
      </c>
      <c r="N33" s="128"/>
      <c r="O33" s="129"/>
      <c r="R33" s="130"/>
    </row>
    <row r="34" spans="2:18">
      <c r="M34" s="131" t="s">
        <v>31</v>
      </c>
      <c r="N34" s="132"/>
      <c r="O34" s="133">
        <v>0</v>
      </c>
      <c r="R34" s="134"/>
    </row>
    <row r="35" spans="2:18">
      <c r="B35" s="84"/>
      <c r="C35" s="84"/>
      <c r="D35" s="84"/>
      <c r="E35" s="84"/>
      <c r="F35" s="84"/>
      <c r="G35" s="84"/>
      <c r="H35" s="84"/>
      <c r="I35" s="84"/>
      <c r="J35" s="84"/>
      <c r="K35" s="84"/>
      <c r="M35" s="131" t="s">
        <v>32</v>
      </c>
      <c r="N35" s="132"/>
      <c r="O35" s="133">
        <f>+E31</f>
        <v>0</v>
      </c>
      <c r="R35" s="134"/>
    </row>
    <row r="36" spans="2:18">
      <c r="B36" s="84"/>
      <c r="C36" s="84"/>
      <c r="D36" s="84"/>
      <c r="E36" s="84"/>
      <c r="F36" s="84"/>
      <c r="G36" s="84"/>
      <c r="H36" s="84"/>
      <c r="I36" s="84"/>
      <c r="J36" s="84"/>
      <c r="K36" s="84"/>
      <c r="M36" s="131" t="s">
        <v>33</v>
      </c>
      <c r="N36" s="132"/>
      <c r="O36" s="135">
        <f>R31</f>
        <v>0</v>
      </c>
      <c r="R36" s="134"/>
    </row>
    <row r="37" spans="2:18">
      <c r="M37" s="131" t="s">
        <v>34</v>
      </c>
      <c r="N37" s="132"/>
      <c r="O37" s="135">
        <f>I31</f>
        <v>0</v>
      </c>
      <c r="R37" s="134"/>
    </row>
    <row r="38" spans="2:18">
      <c r="M38" s="131" t="s">
        <v>35</v>
      </c>
      <c r="N38" s="132"/>
      <c r="O38" s="135">
        <f>J31</f>
        <v>0</v>
      </c>
      <c r="R38" s="134"/>
    </row>
    <row r="39" spans="2:18">
      <c r="M39" s="131" t="s">
        <v>36</v>
      </c>
      <c r="N39" s="132"/>
      <c r="O39" s="135">
        <f>K31</f>
        <v>0</v>
      </c>
      <c r="R39" s="134"/>
    </row>
    <row r="40" spans="2:18">
      <c r="M40" s="64" t="s">
        <v>37</v>
      </c>
    </row>
  </sheetData>
  <mergeCells count="20">
    <mergeCell ref="B5:N5"/>
    <mergeCell ref="P5:R5"/>
    <mergeCell ref="B6:N6"/>
    <mergeCell ref="Q6:R6"/>
    <mergeCell ref="B7:N7"/>
    <mergeCell ref="B8:N8"/>
    <mergeCell ref="Q8:R8"/>
    <mergeCell ref="B9:N9"/>
    <mergeCell ref="Q9:R9"/>
    <mergeCell ref="B11:N11"/>
    <mergeCell ref="F16:H16"/>
    <mergeCell ref="M33:O33"/>
    <mergeCell ref="M34:N34"/>
    <mergeCell ref="M35:N35"/>
    <mergeCell ref="M36:N36"/>
    <mergeCell ref="M37:N37"/>
    <mergeCell ref="M38:N38"/>
    <mergeCell ref="M39:N39"/>
    <mergeCell ref="B2:X3"/>
    <mergeCell ref="B35:K36"/>
  </mergeCells>
  <dataValidations count="3">
    <dataValidation type="list" allowBlank="1" showErrorMessage="1" errorTitle="País no válido" error="Seleccione un país de la lista desplegable." sqref="Q8">
      <formula1>Glossary!$AE$5:$AE$15</formula1>
    </dataValidation>
    <dataValidation type="list" allowBlank="1" showErrorMessage="1" errorTitle="Marca no válida" error="Seleccione una marca de la lista desplegable." sqref="Q9">
      <formula1>Glossary!$B$5:$B$7</formula1>
    </dataValidation>
    <dataValidation type="textLength" operator="equal" allowBlank="1" showInputMessage="1" showErrorMessage="1" promptTitle="Validación" prompt="Should enter 8 digit " sqref="M17:M30">
      <formula1>8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J43"/>
  <sheetViews>
    <sheetView showGridLines="0" zoomScale="70" zoomScaleNormal="70" topLeftCell="X1" workbookViewId="0">
      <selection activeCell="AE23" sqref="AE23"/>
    </sheetView>
  </sheetViews>
  <sheetFormatPr defaultColWidth="11.5575221238938" defaultRowHeight="15.3"/>
  <cols>
    <col min="1" max="1" width="2.33628318584071" style="1" customWidth="1"/>
    <col min="2" max="2" width="15.2212389380531" style="1" customWidth="1"/>
    <col min="3" max="3" width="8.55752212389381" style="1" customWidth="1"/>
    <col min="4" max="4" width="3.10619469026549" style="1" customWidth="1"/>
    <col min="5" max="5" width="22.2212389380531" style="1" customWidth="1"/>
    <col min="6" max="6" width="24.5575221238938" style="1" customWidth="1"/>
    <col min="7" max="7" width="8" style="1" customWidth="1"/>
    <col min="8" max="8" width="4.44247787610619" style="1" customWidth="1"/>
    <col min="9" max="10" width="21.3362831858407" style="1" customWidth="1"/>
    <col min="11" max="11" width="8.44247787610619" style="1" customWidth="1"/>
    <col min="12" max="12" width="8.7787610619469" style="1" customWidth="1"/>
    <col min="13" max="13" width="4.33628318584071" style="1" customWidth="1"/>
    <col min="14" max="14" width="17.8849557522124" style="1" customWidth="1"/>
    <col min="15" max="22" width="13.5575221238938" style="1" customWidth="1"/>
    <col min="23" max="23" width="3.88495575221239" style="1" customWidth="1"/>
    <col min="24" max="24" width="15.6637168141593" style="1" customWidth="1"/>
    <col min="25" max="25" width="7" style="1" customWidth="1"/>
    <col min="26" max="26" width="13.8849557522124" style="1" customWidth="1"/>
    <col min="27" max="27" width="4.10619469026549" style="1" customWidth="1"/>
    <col min="28" max="28" width="17.8849557522124" style="1" customWidth="1"/>
    <col min="29" max="29" width="141.557522123894" style="2" customWidth="1"/>
    <col min="30" max="30" width="11.5575221238938" style="1"/>
    <col min="31" max="31" width="30.6637168141593" style="1" customWidth="1"/>
    <col min="32" max="16384" width="11.5575221238938" style="1"/>
  </cols>
  <sheetData>
    <row r="3" ht="16.05" spans="2:36">
      <c r="B3" s="3" t="s">
        <v>38</v>
      </c>
      <c r="C3" s="4"/>
      <c r="F3" s="5" t="s">
        <v>39</v>
      </c>
      <c r="G3" s="6"/>
      <c r="I3" s="7" t="s">
        <v>40</v>
      </c>
      <c r="J3" s="8"/>
      <c r="K3" s="8"/>
      <c r="L3" s="9"/>
      <c r="N3" s="7" t="s">
        <v>41</v>
      </c>
      <c r="O3" s="10"/>
      <c r="P3" s="10"/>
      <c r="Q3" s="10"/>
      <c r="R3" s="10"/>
      <c r="S3" s="10"/>
      <c r="T3" s="10"/>
      <c r="U3" s="10"/>
      <c r="V3" s="9"/>
      <c r="X3" s="7" t="s">
        <v>42</v>
      </c>
      <c r="Y3" s="8"/>
      <c r="Z3" s="9"/>
      <c r="AB3" s="7" t="s">
        <v>43</v>
      </c>
      <c r="AC3" s="9"/>
      <c r="AE3" s="11" t="s">
        <v>44</v>
      </c>
    </row>
    <row r="4" spans="2:36">
      <c r="B4" s="12" t="s">
        <v>6</v>
      </c>
      <c r="C4" s="13" t="s">
        <v>45</v>
      </c>
      <c r="D4" s="14"/>
      <c r="E4" s="15" t="s">
        <v>46</v>
      </c>
      <c r="F4" s="12" t="s">
        <v>46</v>
      </c>
      <c r="G4" s="13" t="s">
        <v>47</v>
      </c>
      <c r="H4" s="14"/>
      <c r="I4" s="12" t="s">
        <v>4</v>
      </c>
      <c r="J4" s="16" t="s">
        <v>48</v>
      </c>
      <c r="K4" s="16" t="s">
        <v>49</v>
      </c>
      <c r="L4" s="13" t="s">
        <v>47</v>
      </c>
      <c r="N4" s="17" t="s">
        <v>4</v>
      </c>
      <c r="O4" s="18" t="s">
        <v>50</v>
      </c>
      <c r="P4" s="18"/>
      <c r="Q4" s="18"/>
      <c r="R4" s="18"/>
      <c r="S4" s="18"/>
      <c r="T4" s="18"/>
      <c r="U4" s="18"/>
      <c r="V4" s="19"/>
      <c r="X4" s="12" t="s">
        <v>51</v>
      </c>
      <c r="Y4" s="16" t="s">
        <v>52</v>
      </c>
      <c r="Z4" s="13" t="s">
        <v>53</v>
      </c>
      <c r="AB4" s="20" t="s">
        <v>4</v>
      </c>
      <c r="AC4" s="13" t="s">
        <v>1</v>
      </c>
      <c r="AE4" s="21" t="s">
        <v>54</v>
      </c>
      <c r="AF4" s="21" t="s">
        <v>55</v>
      </c>
      <c r="AG4" s="21" t="s">
        <v>56</v>
      </c>
      <c r="AH4" s="21" t="s">
        <v>57</v>
      </c>
      <c r="AI4" s="21" t="s">
        <v>58</v>
      </c>
      <c r="AJ4" s="21" t="s">
        <v>59</v>
      </c>
    </row>
    <row r="5" ht="15.35" spans="2:36">
      <c r="B5" s="22" t="s">
        <v>60</v>
      </c>
      <c r="C5" s="23" t="s">
        <v>61</v>
      </c>
      <c r="D5" s="14"/>
      <c r="E5" s="24" t="s">
        <v>62</v>
      </c>
      <c r="F5" s="22" t="s">
        <v>63</v>
      </c>
      <c r="G5" s="23" t="s">
        <v>64</v>
      </c>
      <c r="H5" s="25" t="s">
        <v>62</v>
      </c>
      <c r="I5" s="22" t="s">
        <v>65</v>
      </c>
      <c r="J5" s="26" t="s">
        <v>66</v>
      </c>
      <c r="K5" s="26">
        <v>1</v>
      </c>
      <c r="L5" s="23" t="s">
        <v>67</v>
      </c>
      <c r="M5" s="14"/>
      <c r="N5" s="22" t="s">
        <v>65</v>
      </c>
      <c r="O5" s="27" t="s">
        <v>68</v>
      </c>
      <c r="P5" s="27"/>
      <c r="Q5" s="27"/>
      <c r="R5" s="27"/>
      <c r="S5" s="27"/>
      <c r="T5" s="27"/>
      <c r="U5" s="27"/>
      <c r="V5" s="28"/>
      <c r="X5" s="29" t="s">
        <v>69</v>
      </c>
      <c r="Y5" s="30" t="s">
        <v>70</v>
      </c>
      <c r="Z5" s="23" t="s">
        <v>71</v>
      </c>
      <c r="AB5" s="22" t="s">
        <v>65</v>
      </c>
      <c r="AC5" s="31" t="s">
        <v>72</v>
      </c>
      <c r="AE5" s="32" t="str">
        <f>I5&amp;" - "&amp;J5</f>
        <v>ARGENTINA - 阿根廷</v>
      </c>
      <c r="AF5" s="1" t="s">
        <v>65</v>
      </c>
      <c r="AG5" s="1" t="str" cm="1">
        <f t="array" ref="AG5">IFERROR(INDEX($AC$5:$AC$44,MATCH($AF5,$AB$5:$AB$44,0)+COLUMNS($AG5:AG5)-1)&amp;"","")</f>
        <v>VISION 101 S.A..</v>
      </c>
      <c r="AH5" s="1" t="str" cm="1">
        <f t="array" ref="AH5">IFERROR(INDEX($AC$5:$AC$44,MATCH($AF5,$AB$5:$AB$44,0)+COLUMNS($AG5:AH5)-1)&amp;"","")</f>
        <v>Leandro N. Alem 1002 - piso 6 – CP – C.A.B.A. – BUENOS AIRES - ARGENTINA</v>
      </c>
      <c r="AI5" s="1" t="str" cm="1">
        <f t="array" ref="AI5">IFERROR(INDEX($AC$5:$AC$44,MATCH($AF5,$AB$5:$AB$44,0)+COLUMNS($AG5:AI5)-1)&amp;"","")</f>
        <v>TAX ID:CUIT: 30-70864841-4</v>
      </c>
      <c r="AJ5" s="1" t="str" cm="1">
        <f t="array" ref="AJ5">IFERROR(INDEX($AC$5:$AC$44,MATCH($AF5,$AB$5:$AB$44,0)+COLUMNS($AG5:AJ5)-1)&amp;"","")</f>
        <v>PH:+54 11  52815888</v>
      </c>
    </row>
    <row r="6" ht="15.35" spans="2:36">
      <c r="B6" s="22" t="s">
        <v>7</v>
      </c>
      <c r="C6" s="23" t="s">
        <v>73</v>
      </c>
      <c r="D6" s="14"/>
      <c r="E6" s="24" t="s">
        <v>74</v>
      </c>
      <c r="F6" s="22" t="s">
        <v>75</v>
      </c>
      <c r="G6" s="23" t="s">
        <v>76</v>
      </c>
      <c r="H6" s="25"/>
      <c r="I6" s="22" t="s">
        <v>77</v>
      </c>
      <c r="J6" s="26" t="s">
        <v>78</v>
      </c>
      <c r="K6" s="26">
        <v>2</v>
      </c>
      <c r="L6" s="23" t="s">
        <v>79</v>
      </c>
      <c r="M6" s="14"/>
      <c r="N6" s="22"/>
      <c r="O6" s="30" t="s">
        <v>65</v>
      </c>
      <c r="P6" s="30"/>
      <c r="Q6" s="30"/>
      <c r="R6" s="30"/>
      <c r="S6" s="30"/>
      <c r="T6" s="30"/>
      <c r="U6" s="30"/>
      <c r="V6" s="33"/>
      <c r="X6" s="29" t="s">
        <v>80</v>
      </c>
      <c r="Y6" s="34" t="s">
        <v>81</v>
      </c>
      <c r="Z6" s="23" t="s">
        <v>82</v>
      </c>
      <c r="AB6" s="22"/>
      <c r="AC6" s="31" t="s">
        <v>83</v>
      </c>
      <c r="AE6" s="32" t="str">
        <f t="shared" ref="AE6:AE15" si="0">I6&amp;" - "&amp;J6</f>
        <v>MEXICO - 墨西哥</v>
      </c>
      <c r="AF6" s="1" t="s">
        <v>84</v>
      </c>
      <c r="AG6" s="1" t="str" cm="1">
        <f t="array" ref="AG6">IFERROR(INDEX($AC$5:$AC$44,MATCH($AF6,$AB$5:$AB$44,0)+COLUMNS($AG6:AG6)-1)&amp;"","")</f>
        <v>BIJOU MEXICO S.A. de C.V.</v>
      </c>
      <c r="AH6" s="1" t="str" cm="1">
        <f t="array" ref="AH6">IFERROR(INDEX($AC$5:$AC$44,MATCH($AF6,$AB$5:$AB$44,0)+COLUMNS($AG6:AH6)-1)&amp;"","")</f>
        <v>ANTONIO DOVALI JAIME NUMERO 70 TORRE A PISO 4</v>
      </c>
      <c r="AI6" s="1" t="str" cm="1">
        <f t="array" ref="AI6">IFERROR(INDEX($AC$5:$AC$44,MATCH($AF6,$AB$5:$AB$44,0)+COLUMNS($AG6:AI6)-1)&amp;"","")</f>
        <v>COLONIA SANTA FE ALVARO OBREGÓN C.P. 01210 - CIUDAD DE MÉXICO, MÉXICO.</v>
      </c>
      <c r="AJ6" s="1" t="str" cm="1">
        <f t="array" ref="AJ6">IFERROR(INDEX($AC$5:$AC$44,MATCH($AF6,$AB$5:$AB$44,0)+COLUMNS($AG6:AJ6)-1)&amp;"","")</f>
        <v>RFC: BME010405MX7  TEL/FAX: 52-55-26280083/26280088</v>
      </c>
    </row>
    <row r="7" ht="16.1" spans="2:36">
      <c r="B7" s="35" t="s">
        <v>85</v>
      </c>
      <c r="C7" s="36" t="s">
        <v>85</v>
      </c>
      <c r="D7" s="14"/>
      <c r="E7" s="24" t="s">
        <v>86</v>
      </c>
      <c r="F7" s="22" t="s">
        <v>87</v>
      </c>
      <c r="G7" s="23" t="s">
        <v>88</v>
      </c>
      <c r="H7" s="25" t="s">
        <v>89</v>
      </c>
      <c r="I7" s="22" t="s">
        <v>90</v>
      </c>
      <c r="J7" s="26" t="s">
        <v>91</v>
      </c>
      <c r="K7" s="26">
        <v>3</v>
      </c>
      <c r="L7" s="23" t="s">
        <v>92</v>
      </c>
      <c r="M7" s="14"/>
      <c r="N7" s="22"/>
      <c r="O7" s="30" t="s">
        <v>93</v>
      </c>
      <c r="P7" s="30"/>
      <c r="Q7" s="30"/>
      <c r="R7" s="30"/>
      <c r="S7" s="30"/>
      <c r="T7" s="30"/>
      <c r="U7" s="30"/>
      <c r="V7" s="33"/>
      <c r="X7" s="22" t="s">
        <v>94</v>
      </c>
      <c r="Y7" s="30"/>
      <c r="Z7" s="37"/>
      <c r="AB7" s="22"/>
      <c r="AC7" s="31" t="s">
        <v>95</v>
      </c>
      <c r="AE7" s="32" t="str">
        <f t="shared" si="0"/>
        <v>CHILE - 智利</v>
      </c>
      <c r="AF7" s="1" t="s">
        <v>90</v>
      </c>
      <c r="AG7" s="1" t="str" cm="1">
        <f t="array" ref="AG7">IFERROR(INDEX($AC$5:$AC$44,MATCH($AF7,$AB$5:$AB$44,0)+COLUMNS($AG7:AG7)-1)&amp;"","")</f>
        <v>BIJOU CHILE SPA</v>
      </c>
      <c r="AH7" s="1" t="str" cm="1">
        <f t="array" ref="AH7">IFERROR(INDEX($AC$5:$AC$44,MATCH($AF7,$AB$5:$AB$44,0)+COLUMNS($AG7:AH7)-1)&amp;"","")</f>
        <v>RUT N° 76 145 457-9,</v>
      </c>
      <c r="AI7" s="1" t="str" cm="1">
        <f t="array" ref="AI7">IFERROR(INDEX($AC$5:$AC$44,MATCH($AF7,$AB$5:$AB$44,0)+COLUMNS($AG7:AI7)-1)&amp;"","")</f>
        <v>AV. VITACURA 6844 PISO 2, COMUNA VITACURA, CIUDAD DE SANTIAGO, CHILE</v>
      </c>
      <c r="AJ7" s="1" t="str" cm="1">
        <f t="array" ref="AJ7">IFERROR(INDEX($AC$5:$AC$44,MATCH($AF7,$AB$5:$AB$44,0)+COLUMNS($AG7:AJ7)-1)&amp;"","")</f>
        <v/>
      </c>
    </row>
    <row r="8" ht="15.35" spans="2:36">
      <c r="D8" s="14"/>
      <c r="E8" s="24" t="s">
        <v>96</v>
      </c>
      <c r="F8" s="22" t="s">
        <v>97</v>
      </c>
      <c r="G8" s="23" t="s">
        <v>98</v>
      </c>
      <c r="H8" s="25"/>
      <c r="I8" s="22" t="s">
        <v>99</v>
      </c>
      <c r="J8" s="26" t="s">
        <v>100</v>
      </c>
      <c r="K8" s="26">
        <v>4</v>
      </c>
      <c r="L8" s="23" t="s">
        <v>101</v>
      </c>
      <c r="M8" s="14"/>
      <c r="N8" s="22" t="s">
        <v>90</v>
      </c>
      <c r="O8" s="27" t="s">
        <v>102</v>
      </c>
      <c r="P8" s="27"/>
      <c r="Q8" s="27"/>
      <c r="R8" s="27"/>
      <c r="S8" s="27"/>
      <c r="T8" s="27"/>
      <c r="U8" s="27"/>
      <c r="V8" s="28"/>
      <c r="X8" s="29" t="s">
        <v>103</v>
      </c>
      <c r="Y8" s="34"/>
      <c r="Z8" s="37"/>
      <c r="AB8" s="22"/>
      <c r="AC8" s="31" t="s">
        <v>104</v>
      </c>
      <c r="AE8" s="32" t="str">
        <f t="shared" si="0"/>
        <v>PERÚ - 秘鲁</v>
      </c>
      <c r="AF8" s="1" t="s">
        <v>99</v>
      </c>
      <c r="AG8" s="1" t="str" cm="1">
        <f t="array" ref="AG8">IFERROR(INDEX($AC$5:$AC$44,MATCH($AF8,$AB$5:$AB$44,0)+COLUMNS($AG8:AG8)-1)&amp;"","")</f>
        <v>BIJOU PERU S.A.C.</v>
      </c>
      <c r="AH8" s="1" t="str" cm="1">
        <f t="array" ref="AH8">IFERROR(INDEX($AC$5:$AC$44,MATCH($AF8,$AB$5:$AB$44,0)+COLUMNS($AG8:AH8)-1)&amp;"","")</f>
        <v>RUC N° 20547530552</v>
      </c>
      <c r="AI8" s="1" t="str" cm="1">
        <f t="array" ref="AI8">IFERROR(INDEX($AC$5:$AC$44,MATCH($AF8,$AB$5:$AB$44,0)+COLUMNS($AG8:AI8)-1)&amp;"","")</f>
        <v>CAL. LA CASUARINA 291, URB. LOS SAUCES, DISTRITO SURQUILLO, LIMA PERU</v>
      </c>
      <c r="AJ8" s="1" t="str" cm="1">
        <f t="array" ref="AJ8">IFERROR(INDEX($AC$5:$AC$44,MATCH($AF8,$AB$5:$AB$44,0)+COLUMNS($AG8:AJ8)-1)&amp;"","")</f>
        <v/>
      </c>
    </row>
    <row r="9" ht="15.35" spans="2:36">
      <c r="D9" s="14"/>
      <c r="E9" s="24" t="s">
        <v>105</v>
      </c>
      <c r="F9" s="22" t="s">
        <v>106</v>
      </c>
      <c r="G9" s="23" t="s">
        <v>107</v>
      </c>
      <c r="H9" s="25"/>
      <c r="I9" s="22" t="s">
        <v>108</v>
      </c>
      <c r="J9" s="26" t="s">
        <v>109</v>
      </c>
      <c r="K9" s="26">
        <v>5</v>
      </c>
      <c r="L9" s="23" t="s">
        <v>110</v>
      </c>
      <c r="M9" s="14"/>
      <c r="N9" s="22"/>
      <c r="O9" s="30" t="s">
        <v>90</v>
      </c>
      <c r="P9" s="30"/>
      <c r="Q9" s="30"/>
      <c r="R9" s="30"/>
      <c r="S9" s="30"/>
      <c r="T9" s="30"/>
      <c r="U9" s="30"/>
      <c r="V9" s="33"/>
      <c r="X9" s="22" t="s">
        <v>111</v>
      </c>
      <c r="Y9" s="30"/>
      <c r="Z9" s="37"/>
      <c r="AB9" s="22" t="s">
        <v>90</v>
      </c>
      <c r="AC9" s="38" t="s">
        <v>112</v>
      </c>
      <c r="AE9" s="32" t="str">
        <f t="shared" si="0"/>
        <v>BRAZIL - 巴西</v>
      </c>
      <c r="AF9" s="1" t="s">
        <v>108</v>
      </c>
      <c r="AG9" s="1" t="str" cm="1">
        <f t="array" ref="AG9">IFERROR(INDEX($AC$5:$AC$44,MATCH($AF9,$AB$5:$AB$44,0)+COLUMNS($AG9:AG9)-1)&amp;"","")</f>
        <v>KSE IMPORTACAO E DISTRIBUICAO LTDA</v>
      </c>
      <c r="AH9" s="1" t="str" cm="1">
        <f t="array" ref="AH9">IFERROR(INDEX($AC$5:$AC$44,MATCH($AF9,$AB$5:$AB$44,0)+COLUMNS($AG9:AH9)-1)&amp;"","")</f>
        <v>RUA PRESIDENTE NEREU RAMOS, 69 - SALA 606 F</v>
      </c>
      <c r="AI9" s="1" t="str" cm="1">
        <f t="array" ref="AI9">IFERROR(INDEX($AC$5:$AC$44,MATCH($AF9,$AB$5:$AB$44,0)+COLUMNS($AG9:AI9)-1)&amp;"","")</f>
        <v>ZIP CODE 88015-010 – FLORIANOPOLIS – SANTA CATARINA – BRASIL</v>
      </c>
      <c r="AJ9" s="1" t="str" cm="1">
        <f t="array" ref="AJ9">IFERROR(INDEX($AC$5:$AC$44,MATCH($AF9,$AB$5:$AB$44,0)+COLUMNS($AG9:AJ9)-1)&amp;"","")</f>
        <v>CNPJ: 18.342.362/0002-07</v>
      </c>
    </row>
    <row r="10" ht="15.35" spans="2:36">
      <c r="D10" s="14"/>
      <c r="E10" s="24" t="s">
        <v>113</v>
      </c>
      <c r="F10" s="22" t="s">
        <v>114</v>
      </c>
      <c r="G10" s="23" t="s">
        <v>115</v>
      </c>
      <c r="H10" s="25" t="s">
        <v>116</v>
      </c>
      <c r="I10" s="22" t="s">
        <v>117</v>
      </c>
      <c r="J10" s="26" t="s">
        <v>118</v>
      </c>
      <c r="K10" s="26">
        <v>6</v>
      </c>
      <c r="L10" s="23" t="s">
        <v>119</v>
      </c>
      <c r="M10" s="14"/>
      <c r="N10" s="22"/>
      <c r="O10" s="30" t="s">
        <v>93</v>
      </c>
      <c r="P10" s="30"/>
      <c r="Q10" s="30"/>
      <c r="R10" s="30"/>
      <c r="S10" s="30"/>
      <c r="T10" s="30"/>
      <c r="U10" s="30"/>
      <c r="V10" s="33"/>
      <c r="X10" s="29" t="s">
        <v>120</v>
      </c>
      <c r="Y10" s="30"/>
      <c r="Z10" s="37"/>
      <c r="AB10" s="22"/>
      <c r="AC10" s="38" t="s">
        <v>121</v>
      </c>
      <c r="AE10" s="32" t="str">
        <f t="shared" si="0"/>
        <v>PARAGUAY - 巴拉圭</v>
      </c>
      <c r="AF10" s="1" t="s">
        <v>117</v>
      </c>
      <c r="AG10" s="1" t="str" cm="1">
        <f t="array" ref="AG10">IFERROR(INDEX($AC$5:$AC$44,MATCH($AF10,$AB$5:$AB$44,0)+COLUMNS($AG10:AG10)-1)&amp;"","")</f>
        <v>LAZOS S.A</v>
      </c>
      <c r="AH10" s="1" t="str" cm="1">
        <f t="array" ref="AH10">IFERROR(INDEX($AC$5:$AC$44,MATCH($AF10,$AB$5:$AB$44,0)+COLUMNS($AG10:AH10)-1)&amp;"","")</f>
        <v>RUC:80026297-2</v>
      </c>
      <c r="AI10" s="1" t="str" cm="1">
        <f t="array" ref="AI10">IFERROR(INDEX($AC$5:$AC$44,MATCH($AF10,$AB$5:$AB$44,0)+COLUMNS($AG10:AI10)-1)&amp;"","")</f>
        <v>DIRECCIÓN: JUAN DE SALAZAR 709 ASUNCIÓN - PARAGUAY</v>
      </c>
      <c r="AJ10" s="1" t="str" cm="1">
        <f t="array" ref="AJ10">IFERROR(INDEX($AC$5:$AC$44,MATCH($AF10,$AB$5:$AB$44,0)+COLUMNS($AG10:AJ10)-1)&amp;"","")</f>
        <v/>
      </c>
    </row>
    <row r="11" ht="16.1" spans="2:36">
      <c r="D11" s="14"/>
      <c r="E11" s="24" t="s">
        <v>122</v>
      </c>
      <c r="F11" s="22" t="s">
        <v>123</v>
      </c>
      <c r="G11" s="23" t="s">
        <v>124</v>
      </c>
      <c r="H11" s="25"/>
      <c r="I11" s="22" t="s">
        <v>125</v>
      </c>
      <c r="J11" s="26" t="s">
        <v>126</v>
      </c>
      <c r="K11" s="26">
        <v>7</v>
      </c>
      <c r="L11" s="23" t="s">
        <v>127</v>
      </c>
      <c r="M11" s="14"/>
      <c r="N11" s="22" t="s">
        <v>99</v>
      </c>
      <c r="O11" s="27" t="s">
        <v>128</v>
      </c>
      <c r="P11" s="27"/>
      <c r="Q11" s="27"/>
      <c r="R11" s="27"/>
      <c r="S11" s="27"/>
      <c r="T11" s="27"/>
      <c r="U11" s="27"/>
      <c r="V11" s="28"/>
      <c r="X11" s="39" t="s">
        <v>129</v>
      </c>
      <c r="Y11" s="40"/>
      <c r="Z11" s="41"/>
      <c r="AB11" s="22"/>
      <c r="AC11" s="38" t="s">
        <v>130</v>
      </c>
      <c r="AE11" s="32" t="str">
        <f t="shared" si="0"/>
        <v>GUATEMALA - 危地马拉</v>
      </c>
      <c r="AF11" s="1" t="s">
        <v>125</v>
      </c>
      <c r="AG11" s="1" t="str" cm="1">
        <f t="array" ref="AG11">IFERROR(INDEX($AC$5:$AC$44,MATCH($AF11,$AB$5:$AB$44,0)+COLUMNS($AG11:AG11)-1)&amp;"","")</f>
        <v>TENDENCIA S.A.</v>
      </c>
      <c r="AH11" s="1" t="str" cm="1">
        <f t="array" ref="AH11">IFERROR(INDEX($AC$5:$AC$44,MATCH($AF11,$AB$5:$AB$44,0)+COLUMNS($AG11:AH11)-1)&amp;"","")</f>
        <v>44 CALLE 16-89 ZONA 12, COLONIA LA COLINA - CIUDAD DE GUATEMALA - GUATEMALA</v>
      </c>
      <c r="AI11" s="1" t="str" cm="1">
        <f t="array" ref="AI11">IFERROR(INDEX($AC$5:$AC$44,MATCH($AF11,$AB$5:$AB$44,0)+COLUMNS($AG11:AI11)-1)&amp;"","")</f>
        <v>NIT: 2590140-0</v>
      </c>
      <c r="AJ11" s="1" t="str" cm="1">
        <f t="array" ref="AJ11">IFERROR(INDEX($AC$5:$AC$44,MATCH($AF11,$AB$5:$AB$44,0)+COLUMNS($AG11:AJ11)-1)&amp;"","")</f>
        <v>PBX: 2303-0000</v>
      </c>
    </row>
    <row r="12" spans="2:36">
      <c r="E12" s="42" t="s">
        <v>131</v>
      </c>
      <c r="F12" s="22" t="s">
        <v>132</v>
      </c>
      <c r="G12" s="23" t="s">
        <v>133</v>
      </c>
      <c r="H12" s="25" t="s">
        <v>134</v>
      </c>
      <c r="I12" s="22" t="s">
        <v>135</v>
      </c>
      <c r="J12" s="26" t="s">
        <v>136</v>
      </c>
      <c r="K12" s="26">
        <v>8</v>
      </c>
      <c r="L12" s="23" t="s">
        <v>137</v>
      </c>
      <c r="M12" s="14"/>
      <c r="N12" s="22"/>
      <c r="O12" s="30" t="s">
        <v>138</v>
      </c>
      <c r="P12" s="30"/>
      <c r="Q12" s="30"/>
      <c r="R12" s="30"/>
      <c r="S12" s="30"/>
      <c r="T12" s="30"/>
      <c r="U12" s="30"/>
      <c r="V12" s="33"/>
      <c r="AB12" s="22"/>
      <c r="AC12" s="38"/>
      <c r="AE12" s="32" t="str">
        <f t="shared" si="0"/>
        <v>EL SALVADOR - 萨尔瓦多</v>
      </c>
      <c r="AF12" s="1" t="s">
        <v>135</v>
      </c>
      <c r="AG12" s="1" t="str" cm="1">
        <f t="array" ref="AG12">IFERROR(INDEX($AC$5:$AC$44,MATCH($AF12,$AB$5:$AB$44,0)+COLUMNS($AG12:AG12)-1)&amp;"","")</f>
        <v>IMPULSO, SA DE CV</v>
      </c>
      <c r="AH12" s="1" t="str" cm="1">
        <f t="array" ref="AH12">IFERROR(INDEX($AC$5:$AC$44,MATCH($AF12,$AB$5:$AB$44,0)+COLUMNS($AG12:AH12)-1)&amp;"","")</f>
        <v>CALLE SIEMENS #54, URBANIZACIÓN INDUSTRIAL SANTA ELENA, ANTIGUO CUSCATLÁN - LA LIBERTAD - EL SALVADOR</v>
      </c>
      <c r="AI12" s="1" t="str" cm="1">
        <f t="array" ref="AI12">IFERROR(INDEX($AC$5:$AC$44,MATCH($AF12,$AB$5:$AB$44,0)+COLUMNS($AG12:AI12)-1)&amp;"","")</f>
        <v>NIT 0501-130309-101-7</v>
      </c>
      <c r="AJ12" s="1" t="str" cm="1">
        <f t="array" ref="AJ12">IFERROR(INDEX($AC$5:$AC$44,MATCH($AF12,$AB$5:$AB$44,0)+COLUMNS($AG12:AJ12)-1)&amp;"","")</f>
        <v/>
      </c>
    </row>
    <row r="13" ht="15.35" spans="2:36">
      <c r="E13" s="42" t="s">
        <v>139</v>
      </c>
      <c r="F13" s="22" t="s">
        <v>140</v>
      </c>
      <c r="G13" s="23" t="s">
        <v>45</v>
      </c>
      <c r="H13" s="25" t="s">
        <v>141</v>
      </c>
      <c r="I13" s="22" t="s">
        <v>142</v>
      </c>
      <c r="J13" s="26" t="s">
        <v>143</v>
      </c>
      <c r="K13" s="26">
        <v>9</v>
      </c>
      <c r="L13" s="23" t="s">
        <v>144</v>
      </c>
      <c r="N13" s="22"/>
      <c r="O13" s="30" t="s">
        <v>145</v>
      </c>
      <c r="P13" s="30"/>
      <c r="Q13" s="30"/>
      <c r="R13" s="30"/>
      <c r="S13" s="30"/>
      <c r="T13" s="30"/>
      <c r="U13" s="30"/>
      <c r="V13" s="33"/>
      <c r="AB13" s="22" t="s">
        <v>99</v>
      </c>
      <c r="AC13" s="38" t="s">
        <v>128</v>
      </c>
      <c r="AE13" s="32" t="str">
        <f t="shared" si="0"/>
        <v>URUGUAY - 乌拉圭</v>
      </c>
      <c r="AF13" s="1" t="s">
        <v>142</v>
      </c>
      <c r="AG13" s="1" t="str" cm="1">
        <f t="array" ref="AG13">IFERROR(INDEX($AC$5:$AC$44,MATCH($AF13,$AB$5:$AB$44,0)+COLUMNS($AG13:AG13)-1)&amp;"","")</f>
        <v>EL HOGAR DE LAS MEDIAS S.A.</v>
      </c>
      <c r="AH13" s="1" t="str" cm="1">
        <f t="array" ref="AH13">IFERROR(INDEX($AC$5:$AC$44,MATCH($AF13,$AB$5:$AB$44,0)+COLUMNS($AG13:AH13)-1)&amp;"","")</f>
        <v>RUT: 210185650015 -18</v>
      </c>
      <c r="AI13" s="1" t="str" cm="1">
        <f t="array" ref="AI13">IFERROR(INDEX($AC$5:$AC$44,MATCH($AF13,$AB$5:$AB$44,0)+COLUMNS($AG13:AI13)-1)&amp;"","")</f>
        <v>18 DE JULIO 913 - MONTEVIDEO - URUGUAY</v>
      </c>
      <c r="AJ13" s="1" t="str" cm="1">
        <f t="array" ref="AJ13">IFERROR(INDEX($AC$5:$AC$44,MATCH($AF13,$AB$5:$AB$44,0)+COLUMNS($AG13:AJ13)-1)&amp;"","")</f>
        <v/>
      </c>
    </row>
    <row r="14" ht="15.35" spans="2:36">
      <c r="E14" s="42" t="s">
        <v>146</v>
      </c>
      <c r="F14" s="22" t="s">
        <v>147</v>
      </c>
      <c r="G14" s="23" t="s">
        <v>148</v>
      </c>
      <c r="H14" s="25" t="s">
        <v>149</v>
      </c>
      <c r="I14" s="43" t="s">
        <v>150</v>
      </c>
      <c r="J14" s="44" t="s">
        <v>151</v>
      </c>
      <c r="K14" s="44">
        <v>10</v>
      </c>
      <c r="L14" s="45" t="s">
        <v>152</v>
      </c>
      <c r="N14" s="22" t="s">
        <v>84</v>
      </c>
      <c r="O14" s="27" t="s">
        <v>153</v>
      </c>
      <c r="P14" s="27"/>
      <c r="Q14" s="27"/>
      <c r="R14" s="27"/>
      <c r="S14" s="27"/>
      <c r="T14" s="27"/>
      <c r="U14" s="27"/>
      <c r="V14" s="28"/>
      <c r="AB14" s="22"/>
      <c r="AC14" s="38" t="s">
        <v>154</v>
      </c>
      <c r="AE14" s="32" t="str">
        <f t="shared" si="0"/>
        <v>ESPAÑA - 西班牙</v>
      </c>
      <c r="AF14" s="1" t="s">
        <v>150</v>
      </c>
      <c r="AG14" s="1" t="str" cm="1">
        <f t="array" ref="AG14">IFERROR(INDEX($AC$5:$AC$44,MATCH($AF14,$AB$5:$AB$44,0)+COLUMNS($AG14:AG14)-1)&amp;"","")</f>
        <v/>
      </c>
      <c r="AH14" s="1" t="str" cm="1">
        <f t="array" ref="AH14">IFERROR(INDEX($AC$5:$AC$44,MATCH($AF14,$AB$5:$AB$44,0)+COLUMNS($AG14:AH14)-1)&amp;"","")</f>
        <v/>
      </c>
      <c r="AI14" s="1" t="str" cm="1">
        <f t="array" ref="AI14">IFERROR(INDEX($AC$5:$AC$44,MATCH($AF14,$AB$5:$AB$44,0)+COLUMNS($AG14:AI14)-1)&amp;"","")</f>
        <v/>
      </c>
      <c r="AJ14" s="1" t="str" cm="1">
        <f t="array" ref="AJ14">IFERROR(INDEX($AC$5:$AC$44,MATCH($AF14,$AB$5:$AB$44,0)+COLUMNS($AG14:AJ14)-1)&amp;"","")</f>
        <v/>
      </c>
    </row>
    <row r="15" ht="16.1" spans="2:36">
      <c r="E15" s="46" t="s">
        <v>155</v>
      </c>
      <c r="F15" s="35" t="s">
        <v>156</v>
      </c>
      <c r="G15" s="36" t="s">
        <v>157</v>
      </c>
      <c r="H15" s="25" t="s">
        <v>139</v>
      </c>
      <c r="I15" s="39" t="s">
        <v>158</v>
      </c>
      <c r="J15" s="47" t="s">
        <v>159</v>
      </c>
      <c r="K15" s="47">
        <v>11</v>
      </c>
      <c r="L15" s="48" t="s">
        <v>160</v>
      </c>
      <c r="N15" s="22"/>
      <c r="O15" s="30" t="s">
        <v>77</v>
      </c>
      <c r="P15" s="30"/>
      <c r="Q15" s="30"/>
      <c r="R15" s="30"/>
      <c r="S15" s="30"/>
      <c r="T15" s="30"/>
      <c r="U15" s="30"/>
      <c r="V15" s="33"/>
      <c r="AB15" s="22"/>
      <c r="AC15" s="38" t="s">
        <v>161</v>
      </c>
      <c r="AE15" s="32" t="str">
        <f t="shared" si="0"/>
        <v>BOLIVIA - 玻利维亚</v>
      </c>
      <c r="AF15" s="1" t="s">
        <v>158</v>
      </c>
      <c r="AG15" s="1" t="str" cm="1">
        <f t="array" ref="AG15">IFERROR(INDEX($AC$5:$AC$44,MATCH($AF15,$AB$5:$AB$44,0)+COLUMNS($AG15:AG15)-1)&amp;"","")</f>
        <v>Sinfronteras SRL</v>
      </c>
      <c r="AH15" s="1" t="str" cm="1">
        <f t="array" ref="AH15">IFERROR(INDEX($AC$5:$AC$44,MATCH($AF15,$AB$5:$AB$44,0)+COLUMNS($AG15:AH15)-1)&amp;"","")</f>
        <v>TAX ID:1017703021</v>
      </c>
      <c r="AI15" s="1" t="str" cm="1">
        <f t="array" ref="AI15">IFERROR(INDEX($AC$5:$AC$44,MATCH($AF15,$AB$5:$AB$44,0)+COLUMNS($AG15:AI15)-1)&amp;"","")</f>
        <v>Calle 7 N° 716, Achumani, La Paz, Bolivia</v>
      </c>
      <c r="AJ15" s="1" t="str" cm="1">
        <f t="array" ref="AJ15">IFERROR(INDEX($AC$5:$AC$44,MATCH($AF15,$AB$5:$AB$44,0)+COLUMNS($AG15:AJ15)-1)&amp;"","")</f>
        <v/>
      </c>
    </row>
    <row r="16" spans="2:36">
      <c r="H16" s="25" t="s">
        <v>131</v>
      </c>
      <c r="N16" s="22"/>
      <c r="O16" s="30" t="s">
        <v>145</v>
      </c>
      <c r="P16" s="30"/>
      <c r="Q16" s="30"/>
      <c r="R16" s="30"/>
      <c r="S16" s="30"/>
      <c r="T16" s="30"/>
      <c r="U16" s="30"/>
      <c r="V16" s="33"/>
      <c r="AB16" s="22"/>
      <c r="AC16" s="38"/>
    </row>
    <row r="17" ht="15.35" spans="13:29">
      <c r="N17" s="49" t="s">
        <v>108</v>
      </c>
      <c r="O17" s="50" t="s">
        <v>162</v>
      </c>
      <c r="P17" s="50"/>
      <c r="Q17" s="50"/>
      <c r="R17" s="50"/>
      <c r="S17" s="50"/>
      <c r="T17" s="50"/>
      <c r="U17" s="50"/>
      <c r="V17" s="51"/>
      <c r="AB17" s="22" t="s">
        <v>84</v>
      </c>
      <c r="AC17" s="38" t="s">
        <v>153</v>
      </c>
    </row>
    <row r="18" ht="15.35" spans="13:29">
      <c r="N18" s="49"/>
      <c r="O18" s="50" t="s">
        <v>163</v>
      </c>
      <c r="P18" s="50"/>
      <c r="Q18" s="50"/>
      <c r="R18" s="50"/>
      <c r="S18" s="50"/>
      <c r="T18" s="50"/>
      <c r="U18" s="50"/>
      <c r="V18" s="51"/>
      <c r="AB18" s="22"/>
      <c r="AC18" s="38" t="s">
        <v>164</v>
      </c>
    </row>
    <row r="19" ht="15.35" spans="13:29">
      <c r="N19" s="49"/>
      <c r="O19" s="30" t="s">
        <v>108</v>
      </c>
      <c r="P19" s="30"/>
      <c r="Q19" s="30"/>
      <c r="R19" s="30"/>
      <c r="S19" s="30"/>
      <c r="T19" s="30"/>
      <c r="U19" s="30"/>
      <c r="V19" s="33"/>
      <c r="AB19" s="22"/>
      <c r="AC19" s="38" t="s">
        <v>165</v>
      </c>
    </row>
    <row r="20" ht="15.35" spans="13:29">
      <c r="N20" s="49"/>
      <c r="O20" s="30" t="s">
        <v>145</v>
      </c>
      <c r="P20" s="30"/>
      <c r="Q20" s="30"/>
      <c r="R20" s="30"/>
      <c r="S20" s="30"/>
      <c r="T20" s="30"/>
      <c r="U20" s="30"/>
      <c r="V20" s="33"/>
      <c r="AB20" s="22"/>
      <c r="AC20" s="38" t="s">
        <v>166</v>
      </c>
    </row>
    <row r="21" ht="15.35" spans="13:29">
      <c r="M21" s="14"/>
      <c r="N21" s="22" t="s">
        <v>117</v>
      </c>
      <c r="O21" s="27" t="s">
        <v>167</v>
      </c>
      <c r="P21" s="27"/>
      <c r="Q21" s="27"/>
      <c r="R21" s="27"/>
      <c r="S21" s="27"/>
      <c r="T21" s="27"/>
      <c r="U21" s="27"/>
      <c r="V21" s="28"/>
      <c r="AB21" s="22" t="s">
        <v>108</v>
      </c>
      <c r="AC21" s="38" t="s">
        <v>168</v>
      </c>
    </row>
    <row r="22" ht="15.35" spans="13:29">
      <c r="M22" s="14"/>
      <c r="N22" s="22"/>
      <c r="O22" s="30" t="s">
        <v>117</v>
      </c>
      <c r="P22" s="30"/>
      <c r="Q22" s="30"/>
      <c r="R22" s="30"/>
      <c r="S22" s="30"/>
      <c r="T22" s="30"/>
      <c r="U22" s="30"/>
      <c r="V22" s="33"/>
      <c r="AB22" s="22"/>
      <c r="AC22" s="38" t="s">
        <v>169</v>
      </c>
    </row>
    <row r="23" ht="15.35" spans="13:29">
      <c r="M23" s="14"/>
      <c r="N23" s="22"/>
      <c r="O23" s="30" t="s">
        <v>145</v>
      </c>
      <c r="P23" s="30"/>
      <c r="Q23" s="30"/>
      <c r="R23" s="30"/>
      <c r="S23" s="30"/>
      <c r="T23" s="30"/>
      <c r="U23" s="30"/>
      <c r="V23" s="33"/>
      <c r="AB23" s="22"/>
      <c r="AC23" s="38" t="s">
        <v>170</v>
      </c>
    </row>
    <row r="24" ht="15.35" spans="13:29">
      <c r="M24" s="14"/>
      <c r="N24" s="22" t="s">
        <v>125</v>
      </c>
      <c r="O24" s="27" t="s">
        <v>171</v>
      </c>
      <c r="P24" s="27"/>
      <c r="Q24" s="27"/>
      <c r="R24" s="27"/>
      <c r="S24" s="27"/>
      <c r="T24" s="27"/>
      <c r="U24" s="27"/>
      <c r="V24" s="28"/>
      <c r="AB24" s="22"/>
      <c r="AC24" s="38" t="s">
        <v>172</v>
      </c>
    </row>
    <row r="25" ht="15.35" spans="13:29">
      <c r="M25" s="14"/>
      <c r="N25" s="22"/>
      <c r="O25" s="27" t="s">
        <v>173</v>
      </c>
      <c r="P25" s="27"/>
      <c r="Q25" s="27"/>
      <c r="R25" s="27"/>
      <c r="S25" s="27"/>
      <c r="T25" s="27"/>
      <c r="U25" s="27"/>
      <c r="V25" s="28"/>
      <c r="AB25" s="22" t="s">
        <v>117</v>
      </c>
      <c r="AC25" s="38" t="s">
        <v>174</v>
      </c>
    </row>
    <row r="26" ht="15.35" spans="13:29">
      <c r="M26" s="14"/>
      <c r="N26" s="22"/>
      <c r="O26" s="27" t="s">
        <v>175</v>
      </c>
      <c r="P26" s="27"/>
      <c r="Q26" s="27"/>
      <c r="R26" s="27"/>
      <c r="S26" s="27"/>
      <c r="T26" s="27"/>
      <c r="U26" s="27"/>
      <c r="V26" s="28"/>
      <c r="AB26" s="22"/>
      <c r="AC26" s="38" t="s">
        <v>176</v>
      </c>
    </row>
    <row r="27" ht="15.35" spans="13:29">
      <c r="M27" s="14"/>
      <c r="N27" s="22"/>
      <c r="O27" s="27" t="s">
        <v>177</v>
      </c>
      <c r="P27" s="27"/>
      <c r="Q27" s="27"/>
      <c r="R27" s="27"/>
      <c r="S27" s="27"/>
      <c r="T27" s="27"/>
      <c r="U27" s="27"/>
      <c r="V27" s="28"/>
      <c r="AB27" s="22"/>
      <c r="AC27" s="38" t="s">
        <v>178</v>
      </c>
    </row>
    <row r="28" spans="13:29">
      <c r="M28" s="14"/>
      <c r="N28" s="22"/>
      <c r="O28" s="30" t="s">
        <v>145</v>
      </c>
      <c r="P28" s="30"/>
      <c r="Q28" s="30"/>
      <c r="R28" s="30"/>
      <c r="S28" s="30"/>
      <c r="T28" s="30"/>
      <c r="U28" s="30"/>
      <c r="V28" s="33"/>
      <c r="AB28" s="22"/>
      <c r="AC28" s="38"/>
    </row>
    <row r="29" ht="15.35" spans="13:29">
      <c r="M29" s="14"/>
      <c r="N29" s="43" t="s">
        <v>135</v>
      </c>
      <c r="O29" s="52" t="s">
        <v>179</v>
      </c>
      <c r="P29" s="53"/>
      <c r="Q29" s="53"/>
      <c r="R29" s="53"/>
      <c r="S29" s="53"/>
      <c r="T29" s="53"/>
      <c r="U29" s="53"/>
      <c r="V29" s="54"/>
      <c r="AB29" s="22" t="s">
        <v>125</v>
      </c>
      <c r="AC29" s="38" t="s">
        <v>171</v>
      </c>
    </row>
    <row r="30" ht="15.35" spans="13:29">
      <c r="N30" s="55"/>
      <c r="O30" s="52" t="s">
        <v>180</v>
      </c>
      <c r="P30" s="53"/>
      <c r="Q30" s="53"/>
      <c r="R30" s="53"/>
      <c r="S30" s="53"/>
      <c r="T30" s="53"/>
      <c r="U30" s="53"/>
      <c r="V30" s="54"/>
      <c r="AB30" s="22"/>
      <c r="AC30" s="38" t="s">
        <v>173</v>
      </c>
    </row>
    <row r="31" ht="15.35" spans="13:29">
      <c r="N31" s="55"/>
      <c r="O31" s="52" t="s">
        <v>181</v>
      </c>
      <c r="P31" s="53"/>
      <c r="Q31" s="53"/>
      <c r="R31" s="53"/>
      <c r="S31" s="53"/>
      <c r="T31" s="53"/>
      <c r="U31" s="53"/>
      <c r="V31" s="54"/>
      <c r="AB31" s="22"/>
      <c r="AC31" s="38" t="s">
        <v>175</v>
      </c>
    </row>
    <row r="32" ht="15.35" spans="13:29">
      <c r="N32" s="55"/>
      <c r="O32" s="52" t="s">
        <v>182</v>
      </c>
      <c r="P32" s="53"/>
      <c r="Q32" s="53"/>
      <c r="R32" s="53"/>
      <c r="S32" s="53"/>
      <c r="T32" s="53"/>
      <c r="U32" s="53"/>
      <c r="V32" s="54"/>
      <c r="AB32" s="22"/>
      <c r="AC32" s="38" t="s">
        <v>177</v>
      </c>
    </row>
    <row r="33" spans="14:29">
      <c r="N33" s="56"/>
      <c r="O33" s="30" t="s">
        <v>145</v>
      </c>
      <c r="P33" s="30"/>
      <c r="Q33" s="30"/>
      <c r="R33" s="30"/>
      <c r="S33" s="30"/>
      <c r="T33" s="30"/>
      <c r="U33" s="30"/>
      <c r="V33" s="33"/>
      <c r="AB33" s="22" t="s">
        <v>135</v>
      </c>
      <c r="AC33" s="57" t="s">
        <v>183</v>
      </c>
    </row>
    <row r="34" spans="14:29">
      <c r="N34" s="22" t="s">
        <v>142</v>
      </c>
      <c r="O34" s="27" t="s">
        <v>184</v>
      </c>
      <c r="P34" s="27"/>
      <c r="Q34" s="27"/>
      <c r="R34" s="27"/>
      <c r="S34" s="27"/>
      <c r="T34" s="27"/>
      <c r="U34" s="27"/>
      <c r="V34" s="28"/>
      <c r="AB34" s="22"/>
      <c r="AC34" s="57" t="s">
        <v>185</v>
      </c>
    </row>
    <row r="35" ht="15.35" spans="14:29">
      <c r="N35" s="22"/>
      <c r="O35" s="27" t="s">
        <v>186</v>
      </c>
      <c r="P35" s="27"/>
      <c r="Q35" s="27"/>
      <c r="R35" s="27"/>
      <c r="S35" s="27"/>
      <c r="T35" s="27"/>
      <c r="U35" s="27"/>
      <c r="V35" s="28"/>
      <c r="AB35" s="22"/>
      <c r="AC35" s="38" t="s">
        <v>187</v>
      </c>
    </row>
    <row r="36" spans="14:29">
      <c r="N36" s="22"/>
      <c r="O36" s="27" t="s">
        <v>188</v>
      </c>
      <c r="P36" s="27"/>
      <c r="Q36" s="27"/>
      <c r="R36" s="27"/>
      <c r="S36" s="27"/>
      <c r="T36" s="27"/>
      <c r="U36" s="27"/>
      <c r="V36" s="28"/>
      <c r="AB36" s="22"/>
      <c r="AC36" s="38"/>
    </row>
    <row r="37" ht="15.35" spans="14:29">
      <c r="N37" s="22"/>
      <c r="O37" s="27" t="s">
        <v>189</v>
      </c>
      <c r="P37" s="27"/>
      <c r="Q37" s="27"/>
      <c r="R37" s="27"/>
      <c r="S37" s="27"/>
      <c r="T37" s="27"/>
      <c r="U37" s="27"/>
      <c r="V37" s="28"/>
      <c r="AB37" s="22" t="s">
        <v>142</v>
      </c>
      <c r="AC37" s="38" t="s">
        <v>186</v>
      </c>
    </row>
    <row r="38" ht="15.35" spans="14:29">
      <c r="N38" s="22"/>
      <c r="O38" s="27" t="s">
        <v>93</v>
      </c>
      <c r="P38" s="27"/>
      <c r="Q38" s="27"/>
      <c r="R38" s="27"/>
      <c r="S38" s="27"/>
      <c r="T38" s="27"/>
      <c r="U38" s="27"/>
      <c r="V38" s="28"/>
      <c r="AB38" s="22"/>
      <c r="AC38" s="38" t="s">
        <v>190</v>
      </c>
    </row>
    <row r="39" ht="15.35" spans="14:29">
      <c r="N39" s="22" t="s">
        <v>158</v>
      </c>
      <c r="O39" s="58" t="s">
        <v>191</v>
      </c>
      <c r="P39" s="58"/>
      <c r="Q39" s="58"/>
      <c r="R39" s="58"/>
      <c r="S39" s="58"/>
      <c r="T39" s="58"/>
      <c r="U39" s="58"/>
      <c r="V39" s="59"/>
      <c r="AB39" s="22"/>
      <c r="AC39" s="38" t="s">
        <v>192</v>
      </c>
    </row>
    <row r="40" spans="14:29">
      <c r="N40" s="22"/>
      <c r="O40" s="58" t="s">
        <v>193</v>
      </c>
      <c r="P40" s="58"/>
      <c r="Q40" s="58"/>
      <c r="R40" s="58"/>
      <c r="S40" s="58"/>
      <c r="T40" s="58"/>
      <c r="U40" s="58"/>
      <c r="V40" s="59"/>
      <c r="AB40" s="22"/>
      <c r="AC40" s="38"/>
    </row>
    <row r="41" ht="16.05" spans="14:29">
      <c r="N41" s="35"/>
      <c r="O41" s="60" t="s">
        <v>93</v>
      </c>
      <c r="P41" s="60"/>
      <c r="Q41" s="60"/>
      <c r="R41" s="60"/>
      <c r="S41" s="60"/>
      <c r="T41" s="60"/>
      <c r="U41" s="60"/>
      <c r="V41" s="61"/>
      <c r="AB41" s="22" t="s">
        <v>158</v>
      </c>
      <c r="AC41" s="62" t="s">
        <v>191</v>
      </c>
    </row>
    <row r="42" ht="15.35" spans="14:29">
      <c r="AB42" s="22"/>
      <c r="AC42" s="62" t="s">
        <v>194</v>
      </c>
    </row>
    <row r="43" ht="16.05" spans="14:29">
      <c r="AB43" s="35"/>
      <c r="AC43" s="63" t="s">
        <v>195</v>
      </c>
    </row>
  </sheetData>
  <mergeCells count="64">
    <mergeCell ref="B3:C3"/>
    <mergeCell ref="F3:G3"/>
    <mergeCell ref="I3:L3"/>
    <mergeCell ref="N3:V3"/>
    <mergeCell ref="X3:Z3"/>
    <mergeCell ref="AB3:AC3"/>
    <mergeCell ref="O4:V4"/>
    <mergeCell ref="O5:V5"/>
    <mergeCell ref="O6:V6"/>
    <mergeCell ref="O7:V7"/>
    <mergeCell ref="O8:V8"/>
    <mergeCell ref="O9:V9"/>
    <mergeCell ref="O10:V10"/>
    <mergeCell ref="O11:V11"/>
    <mergeCell ref="O12:V12"/>
    <mergeCell ref="O13:V13"/>
    <mergeCell ref="O14:V14"/>
    <mergeCell ref="O15:V15"/>
    <mergeCell ref="O16:V16"/>
    <mergeCell ref="O17:V17"/>
    <mergeCell ref="O18:V18"/>
    <mergeCell ref="O19:V19"/>
    <mergeCell ref="O20:V20"/>
    <mergeCell ref="O21:V21"/>
    <mergeCell ref="O22:V22"/>
    <mergeCell ref="O23:V23"/>
    <mergeCell ref="O24:V24"/>
    <mergeCell ref="O25:V25"/>
    <mergeCell ref="O26:V26"/>
    <mergeCell ref="O27:V27"/>
    <mergeCell ref="O28:V28"/>
    <mergeCell ref="O29:V29"/>
    <mergeCell ref="O30:V30"/>
    <mergeCell ref="O31:V31"/>
    <mergeCell ref="O32:V32"/>
    <mergeCell ref="O33:V33"/>
    <mergeCell ref="O34:V34"/>
    <mergeCell ref="O35:V35"/>
    <mergeCell ref="O36:V36"/>
    <mergeCell ref="O37:V37"/>
    <mergeCell ref="O38:V38"/>
    <mergeCell ref="O39:V39"/>
    <mergeCell ref="O40:V40"/>
    <mergeCell ref="O41:V41"/>
    <mergeCell ref="N5:N7"/>
    <mergeCell ref="N8:N10"/>
    <mergeCell ref="N11:N13"/>
    <mergeCell ref="N14:N16"/>
    <mergeCell ref="N17:N20"/>
    <mergeCell ref="N21:N23"/>
    <mergeCell ref="N24:N28"/>
    <mergeCell ref="N29:N33"/>
    <mergeCell ref="N34:N38"/>
    <mergeCell ref="N39:N41"/>
    <mergeCell ref="AB5:AB8"/>
    <mergeCell ref="AB9:AB12"/>
    <mergeCell ref="AB13:AB16"/>
    <mergeCell ref="AB17:AB20"/>
    <mergeCell ref="AB21:AB24"/>
    <mergeCell ref="AB25:AB28"/>
    <mergeCell ref="AB29:AB32"/>
    <mergeCell ref="AB33:AB36"/>
    <mergeCell ref="AB37:AB40"/>
    <mergeCell ref="AB41:AB4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Albera</dc:creator>
  <cp:lastModifiedBy>Della</cp:lastModifiedBy>
  <dcterms:created xsi:type="dcterms:W3CDTF">2015-06-02T22:21:00Z</dcterms:created>
  <cp:lastPrinted>2022-06-15T02:27:00Z</cp:lastPrinted>
  <dcterms:modified xsi:type="dcterms:W3CDTF">2026-09-10T06:14:40Z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B02C15D9AD4444EFABC8B466E55B2971_12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